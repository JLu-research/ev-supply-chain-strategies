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"/>
    </mc:Choice>
  </mc:AlternateContent>
  <xr:revisionPtr revIDLastSave="0" documentId="13_ncr:1_{FBC83021-4FE0-F04F-AC53-FFB42C0091C4}" xr6:coauthVersionLast="47" xr6:coauthVersionMax="47" xr10:uidLastSave="{00000000-0000-0000-0000-000000000000}"/>
  <bookViews>
    <workbookView xWindow="0" yWindow="680" windowWidth="29080" windowHeight="18960" xr2:uid="{8B84F167-CB4F-084F-97AC-D9BD45E46751}"/>
  </bookViews>
  <sheets>
    <sheet name="EV_sales" sheetId="78" r:id="rId1"/>
    <sheet name="aam_market_share" sheetId="82" r:id="rId2"/>
    <sheet name="market_share" sheetId="46" r:id="rId3"/>
    <sheet name="battery_wt_year" sheetId="89" r:id="rId4"/>
    <sheet name="downstream_material" sheetId="93" r:id="rId5"/>
    <sheet name="midstream_material" sheetId="101" r:id="rId6"/>
    <sheet name="upstream_material" sheetId="99" r:id="rId7"/>
    <sheet name="specific_energy_year" sheetId="50" r:id="rId8"/>
    <sheet name="recycling_limit" sheetId="111" r:id="rId9"/>
    <sheet name="pyro_recycling" sheetId="28" r:id="rId10"/>
    <sheet name="hydro_recycling" sheetId="29" r:id="rId11"/>
    <sheet name="direct_recycling" sheetId="30" r:id="rId12"/>
    <sheet name="recycling_rate" sheetId="90" r:id="rId13"/>
    <sheet name="recycling_portion" sheetId="10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99" l="1"/>
  <c r="C7" i="99"/>
  <c r="C6" i="99"/>
  <c r="B6" i="99"/>
  <c r="C11" i="30" l="1"/>
  <c r="D11" i="30"/>
  <c r="E11" i="30"/>
  <c r="F11" i="30"/>
  <c r="G11" i="30"/>
  <c r="H11" i="30"/>
  <c r="B11" i="30"/>
</calcChain>
</file>

<file path=xl/sharedStrings.xml><?xml version="1.0" encoding="utf-8"?>
<sst xmlns="http://schemas.openxmlformats.org/spreadsheetml/2006/main" count="160" uniqueCount="92">
  <si>
    <t>year</t>
  </si>
  <si>
    <t>BEV</t>
  </si>
  <si>
    <t>PHEV</t>
  </si>
  <si>
    <t>NCA</t>
  </si>
  <si>
    <t>NMC622</t>
  </si>
  <si>
    <t>NMC532</t>
  </si>
  <si>
    <t>LFP</t>
  </si>
  <si>
    <t>LMO</t>
  </si>
  <si>
    <t>NMC811</t>
  </si>
  <si>
    <t>NMC111</t>
  </si>
  <si>
    <t>Active Material</t>
  </si>
  <si>
    <t>Binder</t>
  </si>
  <si>
    <t>BEV_NMC111</t>
  </si>
  <si>
    <t>BEV_LFP</t>
  </si>
  <si>
    <t>BEV_NMC622</t>
  </si>
  <si>
    <t>BEV_NMC811</t>
  </si>
  <si>
    <t>BEV_NCA</t>
  </si>
  <si>
    <t>BEV_NMC532</t>
  </si>
  <si>
    <t>PHEV_NMC111</t>
  </si>
  <si>
    <t>PHEV_LFP</t>
  </si>
  <si>
    <t>PHEV_NMC622</t>
  </si>
  <si>
    <t>PHEV_NMC811</t>
  </si>
  <si>
    <t>PHEV_NCA</t>
  </si>
  <si>
    <t>PHEV_NMC532</t>
  </si>
  <si>
    <t>material</t>
  </si>
  <si>
    <t>Aluminum hydroxide Al(OH)3</t>
  </si>
  <si>
    <t>Bauxite</t>
  </si>
  <si>
    <t>Aluminum sulfate (Al2(SO4)3)</t>
  </si>
  <si>
    <t>mineral</t>
  </si>
  <si>
    <t>Nickel</t>
  </si>
  <si>
    <t>Cobalt</t>
  </si>
  <si>
    <t>Cobalt sulfate (CoSO4)</t>
  </si>
  <si>
    <t>Lithium carbonate (Li2CO3)</t>
  </si>
  <si>
    <t>Manganese sulfate (MnSO4)</t>
  </si>
  <si>
    <t>Nickel sulfate (NiSO4)</t>
  </si>
  <si>
    <t>output</t>
  </si>
  <si>
    <t>Nickel sulfate</t>
  </si>
  <si>
    <t>Lithium carbonate</t>
  </si>
  <si>
    <t>Lithium hydroxide</t>
  </si>
  <si>
    <t>Synthetic graphite</t>
  </si>
  <si>
    <t>Natural graphite</t>
  </si>
  <si>
    <t>Cobalt sulfate</t>
  </si>
  <si>
    <t>SIB</t>
  </si>
  <si>
    <t>BEV_SIB</t>
  </si>
  <si>
    <t>Separator</t>
  </si>
  <si>
    <t>PHEV_SIB</t>
  </si>
  <si>
    <t>LMRNMC</t>
  </si>
  <si>
    <t>Manganese sulfate</t>
  </si>
  <si>
    <t>BEV_LFP_wt</t>
  </si>
  <si>
    <t>BEV_NCA_wt</t>
  </si>
  <si>
    <t>BEV_NMC111_wt</t>
  </si>
  <si>
    <t>BEV_NMC532_wt</t>
  </si>
  <si>
    <t>BEV_NMC622_wt</t>
  </si>
  <si>
    <t>BEV_NMC811_wt</t>
  </si>
  <si>
    <t>BEV_SIB_wt</t>
  </si>
  <si>
    <t>PHEV_LFP_wt</t>
  </si>
  <si>
    <t>PHEV_NCA_wt</t>
  </si>
  <si>
    <t>PHEV_NMC111_wt</t>
  </si>
  <si>
    <t>PHEV_NMC532_wt</t>
  </si>
  <si>
    <t>PHEV_NMC622_wt</t>
  </si>
  <si>
    <t>PHEV_NMC811_wt</t>
  </si>
  <si>
    <t>PHEV_SIB_wt</t>
  </si>
  <si>
    <t>BEV_LFP_specificenergy</t>
  </si>
  <si>
    <t>BEV_NCA_specificenergy</t>
  </si>
  <si>
    <t>BEV_NMC111_specificenergy</t>
  </si>
  <si>
    <t>BEV_NMC532_specificenergy</t>
  </si>
  <si>
    <t>BEV_NMC622_specificenergy</t>
  </si>
  <si>
    <t>BEV_NMC811_specificenergy</t>
  </si>
  <si>
    <t>BEV_SIB_specificenergy</t>
  </si>
  <si>
    <t>PHEV_LFP_specificenergy</t>
  </si>
  <si>
    <t>PHEV_NCA_specificenergy</t>
  </si>
  <si>
    <t>PHEV_NMC111_specificenergy</t>
  </si>
  <si>
    <t>PHEV_NMC532_specificenergy</t>
  </si>
  <si>
    <t>PHEV_NMC622_specificenergy</t>
  </si>
  <si>
    <t>PHEV_NMC811_specificenergy</t>
  </si>
  <si>
    <t>PHEV_SIB_specificenergy</t>
  </si>
  <si>
    <t>LIB electrolyte</t>
  </si>
  <si>
    <t>SIB electrolyte</t>
  </si>
  <si>
    <t>Aluminum hydroxide</t>
  </si>
  <si>
    <t>Manganese</t>
  </si>
  <si>
    <t>Lithium ore</t>
  </si>
  <si>
    <t>Lithium brine</t>
  </si>
  <si>
    <t>CAM</t>
  </si>
  <si>
    <t>Lithium hydroxide (LiOH)</t>
  </si>
  <si>
    <t>SIB AAM</t>
  </si>
  <si>
    <t>Graphite AAM</t>
  </si>
  <si>
    <t>LIB AAM</t>
  </si>
  <si>
    <t>recycling_portion</t>
  </si>
  <si>
    <t>use_capacity_limit</t>
  </si>
  <si>
    <t>graphite_share</t>
  </si>
  <si>
    <t>recycling_rate</t>
  </si>
  <si>
    <t>recycling_capacity_existing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</si>
</sst>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3" fillId="0" borderId="0" applyNumberFormat="0">
      <alignment horizontal="center" vertical="center"/>
    </xf>
    <xf numFmtId="0" fontId="2" fillId="0" borderId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7" fillId="0" borderId="0" xfId="1" applyNumberFormat="1" applyFont="1"/>
    <xf numFmtId="1" fontId="7" fillId="0" borderId="0" xfId="0" applyNumberFormat="1" applyFont="1"/>
    <xf numFmtId="0" fontId="8" fillId="0" borderId="0" xfId="0" applyFont="1" applyAlignment="1">
      <alignment horizontal="center" vertical="top"/>
    </xf>
    <xf numFmtId="164" fontId="7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3" fontId="4" fillId="0" borderId="0" xfId="0" applyNumberFormat="1" applyFont="1"/>
    <xf numFmtId="0" fontId="4" fillId="0" borderId="0" xfId="0" quotePrefix="1" applyFont="1"/>
    <xf numFmtId="10" fontId="4" fillId="0" borderId="0" xfId="3" applyNumberFormat="1" applyFont="1"/>
    <xf numFmtId="9" fontId="4" fillId="0" borderId="0" xfId="3" applyFont="1" applyFill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6">
    <cellStyle name="Comma" xfId="1" builtinId="3"/>
    <cellStyle name="Normal" xfId="0" builtinId="0"/>
    <cellStyle name="Normal 10" xfId="5" xr:uid="{AE7AC0FF-9088-0745-995D-800313861F98}"/>
    <cellStyle name="Normal 3" xfId="2" xr:uid="{A40BFEE3-18C6-4B44-93A9-40C5DB79D3DF}"/>
    <cellStyle name="Percent" xfId="3" builtinId="5"/>
    <cellStyle name="Table Header 3" xfId="4" xr:uid="{169B5F38-334F-6743-818D-ECB64013B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D84A-5FF6-7341-8DA1-471748375E16}">
  <sheetPr codeName="Sheet46"/>
  <dimension ref="A1:J37"/>
  <sheetViews>
    <sheetView tabSelected="1" zoomScaleNormal="100" workbookViewId="0"/>
  </sheetViews>
  <sheetFormatPr baseColWidth="10" defaultRowHeight="16" x14ac:dyDescent="0.2"/>
  <cols>
    <col min="1" max="1" width="10.83203125" style="4"/>
    <col min="2" max="2" width="14.5" style="4" bestFit="1" customWidth="1"/>
    <col min="3" max="3" width="11.83203125" style="4" bestFit="1" customWidth="1"/>
    <col min="4" max="16384" width="10.83203125" style="4"/>
  </cols>
  <sheetData>
    <row r="1" spans="1:3" s="15" customFormat="1" x14ac:dyDescent="0.2">
      <c r="A1" s="15" t="s">
        <v>0</v>
      </c>
      <c r="B1" s="15" t="s">
        <v>1</v>
      </c>
      <c r="C1" s="15" t="s">
        <v>2</v>
      </c>
    </row>
    <row r="2" spans="1:3" x14ac:dyDescent="0.2">
      <c r="A2" s="4">
        <v>2000</v>
      </c>
      <c r="B2" s="5">
        <v>0</v>
      </c>
      <c r="C2" s="5">
        <v>0</v>
      </c>
    </row>
    <row r="3" spans="1:3" x14ac:dyDescent="0.2">
      <c r="A3" s="4">
        <v>2001</v>
      </c>
      <c r="B3" s="5">
        <v>0</v>
      </c>
      <c r="C3" s="5">
        <v>0</v>
      </c>
    </row>
    <row r="4" spans="1:3" x14ac:dyDescent="0.2">
      <c r="A4" s="4">
        <v>2002</v>
      </c>
      <c r="B4" s="5">
        <v>0</v>
      </c>
      <c r="C4" s="5">
        <v>0</v>
      </c>
    </row>
    <row r="5" spans="1:3" x14ac:dyDescent="0.2">
      <c r="A5" s="4">
        <v>2003</v>
      </c>
      <c r="B5" s="5">
        <v>0</v>
      </c>
      <c r="C5" s="5">
        <v>0</v>
      </c>
    </row>
    <row r="6" spans="1:3" x14ac:dyDescent="0.2">
      <c r="A6" s="4">
        <v>2004</v>
      </c>
      <c r="B6" s="5">
        <v>0</v>
      </c>
      <c r="C6" s="5">
        <v>0</v>
      </c>
    </row>
    <row r="7" spans="1:3" x14ac:dyDescent="0.2">
      <c r="A7" s="4">
        <v>2005</v>
      </c>
      <c r="B7" s="5">
        <v>0</v>
      </c>
      <c r="C7" s="5">
        <v>0</v>
      </c>
    </row>
    <row r="8" spans="1:3" x14ac:dyDescent="0.2">
      <c r="A8" s="4">
        <v>2006</v>
      </c>
      <c r="B8" s="5">
        <v>0</v>
      </c>
      <c r="C8" s="5">
        <v>0</v>
      </c>
    </row>
    <row r="9" spans="1:3" x14ac:dyDescent="0.2">
      <c r="A9" s="4">
        <v>2007</v>
      </c>
      <c r="B9" s="5">
        <v>0</v>
      </c>
      <c r="C9" s="5">
        <v>0</v>
      </c>
    </row>
    <row r="10" spans="1:3" x14ac:dyDescent="0.2">
      <c r="A10" s="4">
        <v>2008</v>
      </c>
      <c r="B10" s="5">
        <v>0</v>
      </c>
      <c r="C10" s="5">
        <v>0</v>
      </c>
    </row>
    <row r="11" spans="1:3" x14ac:dyDescent="0.2">
      <c r="A11" s="4">
        <v>2009</v>
      </c>
      <c r="B11" s="5">
        <v>0</v>
      </c>
      <c r="C11" s="5">
        <v>0</v>
      </c>
    </row>
    <row r="12" spans="1:3" x14ac:dyDescent="0.2">
      <c r="A12" s="4">
        <v>2010</v>
      </c>
      <c r="B12" s="5">
        <v>19</v>
      </c>
      <c r="C12" s="5">
        <v>326</v>
      </c>
    </row>
    <row r="13" spans="1:3" x14ac:dyDescent="0.2">
      <c r="A13" s="4">
        <v>2011</v>
      </c>
      <c r="B13" s="5">
        <v>10092</v>
      </c>
      <c r="C13" s="5">
        <v>7671</v>
      </c>
    </row>
    <row r="14" spans="1:3" x14ac:dyDescent="0.2">
      <c r="A14" s="4">
        <v>2012</v>
      </c>
      <c r="B14" s="5">
        <v>14587</v>
      </c>
      <c r="C14" s="5">
        <v>38584</v>
      </c>
    </row>
    <row r="15" spans="1:3" x14ac:dyDescent="0.2">
      <c r="A15" s="4">
        <v>2013</v>
      </c>
      <c r="B15" s="5">
        <v>48094</v>
      </c>
      <c r="C15" s="5">
        <v>49008</v>
      </c>
    </row>
    <row r="16" spans="1:3" x14ac:dyDescent="0.2">
      <c r="A16" s="4">
        <v>2014</v>
      </c>
      <c r="B16" s="5">
        <v>63525</v>
      </c>
      <c r="C16" s="5">
        <v>55357</v>
      </c>
    </row>
    <row r="17" spans="1:10" x14ac:dyDescent="0.2">
      <c r="A17" s="4">
        <v>2015</v>
      </c>
      <c r="B17" s="5">
        <v>71064</v>
      </c>
      <c r="C17" s="5">
        <v>42959</v>
      </c>
    </row>
    <row r="18" spans="1:10" x14ac:dyDescent="0.2">
      <c r="A18" s="4">
        <v>2016</v>
      </c>
      <c r="B18" s="5">
        <v>86731</v>
      </c>
      <c r="C18" s="5">
        <v>72885</v>
      </c>
    </row>
    <row r="19" spans="1:10" x14ac:dyDescent="0.2">
      <c r="A19" s="4">
        <v>2017</v>
      </c>
      <c r="B19" s="5">
        <v>104487</v>
      </c>
      <c r="C19" s="5">
        <v>91188</v>
      </c>
    </row>
    <row r="20" spans="1:10" x14ac:dyDescent="0.2">
      <c r="A20" s="4">
        <v>2018</v>
      </c>
      <c r="B20" s="5">
        <v>207062</v>
      </c>
      <c r="C20" s="5">
        <v>123883</v>
      </c>
    </row>
    <row r="21" spans="1:10" x14ac:dyDescent="0.2">
      <c r="A21" s="4">
        <v>2019</v>
      </c>
      <c r="B21" s="5">
        <v>233822</v>
      </c>
      <c r="C21" s="5">
        <v>85791</v>
      </c>
    </row>
    <row r="22" spans="1:10" x14ac:dyDescent="0.2">
      <c r="A22" s="4">
        <v>2020</v>
      </c>
      <c r="B22" s="5">
        <v>238540</v>
      </c>
      <c r="C22" s="5">
        <v>69049</v>
      </c>
    </row>
    <row r="23" spans="1:10" x14ac:dyDescent="0.2">
      <c r="A23" s="4">
        <v>2021</v>
      </c>
      <c r="B23" s="5">
        <v>440766</v>
      </c>
      <c r="C23" s="5">
        <v>133954</v>
      </c>
    </row>
    <row r="24" spans="1:10" x14ac:dyDescent="0.2">
      <c r="A24" s="4">
        <v>2022</v>
      </c>
      <c r="B24" s="5">
        <v>747982</v>
      </c>
      <c r="C24" s="5">
        <v>183411</v>
      </c>
    </row>
    <row r="25" spans="1:10" x14ac:dyDescent="0.2">
      <c r="A25" s="4">
        <v>2023</v>
      </c>
      <c r="B25" s="5">
        <v>1140186</v>
      </c>
      <c r="C25" s="5">
        <v>305757</v>
      </c>
    </row>
    <row r="26" spans="1:10" x14ac:dyDescent="0.2">
      <c r="A26" s="4">
        <v>2024</v>
      </c>
      <c r="B26" s="5">
        <v>1244357</v>
      </c>
      <c r="C26" s="5">
        <v>317872</v>
      </c>
      <c r="J26" s="6"/>
    </row>
    <row r="27" spans="1:10" x14ac:dyDescent="0.2">
      <c r="A27" s="4">
        <v>2025</v>
      </c>
      <c r="B27" s="5">
        <v>1429753.3174399999</v>
      </c>
      <c r="C27" s="5">
        <v>366539.17056</v>
      </c>
      <c r="J27" s="6"/>
    </row>
    <row r="28" spans="1:10" x14ac:dyDescent="0.2">
      <c r="A28" s="4">
        <v>2026</v>
      </c>
      <c r="B28" s="5">
        <v>1743074.755163</v>
      </c>
      <c r="C28" s="5">
        <v>491982.88838898909</v>
      </c>
    </row>
    <row r="29" spans="1:10" x14ac:dyDescent="0.2">
      <c r="A29" s="4">
        <v>2027</v>
      </c>
      <c r="B29" s="5">
        <v>2121381.2057431662</v>
      </c>
      <c r="C29" s="5">
        <v>586691.99327559175</v>
      </c>
    </row>
    <row r="30" spans="1:10" x14ac:dyDescent="0.2">
      <c r="A30" s="4">
        <v>2028</v>
      </c>
      <c r="B30" s="5">
        <v>2771354.3452099161</v>
      </c>
      <c r="C30" s="5">
        <v>640659.43117074319</v>
      </c>
    </row>
    <row r="31" spans="1:10" x14ac:dyDescent="0.2">
      <c r="A31" s="4">
        <v>2029</v>
      </c>
      <c r="B31" s="5">
        <v>3482565.6859095013</v>
      </c>
      <c r="C31" s="5">
        <v>657622.02003277338</v>
      </c>
    </row>
    <row r="32" spans="1:10" x14ac:dyDescent="0.2">
      <c r="A32" s="4">
        <v>2030</v>
      </c>
      <c r="B32" s="5">
        <v>4190874.7894900087</v>
      </c>
      <c r="C32" s="5">
        <v>657622.02003277338</v>
      </c>
    </row>
    <row r="33" spans="1:3" x14ac:dyDescent="0.2">
      <c r="A33" s="4">
        <v>2031</v>
      </c>
      <c r="B33" s="5">
        <v>5257477.1740132272</v>
      </c>
      <c r="C33" s="5">
        <v>657622.02003277338</v>
      </c>
    </row>
    <row r="34" spans="1:3" x14ac:dyDescent="0.2">
      <c r="A34" s="4">
        <v>2032</v>
      </c>
      <c r="B34" s="5">
        <v>6671312.5509889815</v>
      </c>
      <c r="C34" s="5">
        <v>657622.02003277338</v>
      </c>
    </row>
    <row r="35" spans="1:3" x14ac:dyDescent="0.2">
      <c r="A35" s="4">
        <v>2033</v>
      </c>
      <c r="B35" s="5">
        <v>8377800.0132236993</v>
      </c>
      <c r="C35" s="5">
        <v>657622.02003277338</v>
      </c>
    </row>
    <row r="36" spans="1:3" x14ac:dyDescent="0.2">
      <c r="A36" s="4">
        <v>2034</v>
      </c>
      <c r="B36" s="5">
        <v>10152158.939338516</v>
      </c>
      <c r="C36" s="5">
        <v>657622.02003277338</v>
      </c>
    </row>
    <row r="37" spans="1:3" x14ac:dyDescent="0.2">
      <c r="A37" s="4">
        <v>2035</v>
      </c>
      <c r="B37" s="5">
        <v>11531068.116310438</v>
      </c>
      <c r="C37" s="5">
        <v>657622.02003277338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AEDC-4C5A-B047-890A-89FE1267531E}">
  <sheetPr codeName="Sheet59"/>
  <dimension ref="A1:B28"/>
  <sheetViews>
    <sheetView zoomScaleNormal="100" workbookViewId="0"/>
  </sheetViews>
  <sheetFormatPr baseColWidth="10" defaultRowHeight="16" x14ac:dyDescent="0.2"/>
  <cols>
    <col min="1" max="1" width="10.83203125" style="1"/>
    <col min="2" max="2" width="14" style="1" bestFit="1" customWidth="1"/>
    <col min="3" max="16384" width="10.83203125" style="1"/>
  </cols>
  <sheetData>
    <row r="1" spans="1:2" s="17" customFormat="1" x14ac:dyDescent="0.2">
      <c r="A1" s="7" t="s">
        <v>0</v>
      </c>
      <c r="B1" s="16" t="s">
        <v>89</v>
      </c>
    </row>
    <row r="2" spans="1:2" x14ac:dyDescent="0.2">
      <c r="A2" s="1">
        <v>2024</v>
      </c>
      <c r="B2" s="9">
        <v>0.96779284466058879</v>
      </c>
    </row>
    <row r="3" spans="1:2" x14ac:dyDescent="0.2">
      <c r="A3" s="1">
        <v>2025</v>
      </c>
      <c r="B3" s="9">
        <v>0.9481907448597624</v>
      </c>
    </row>
    <row r="4" spans="1:2" x14ac:dyDescent="0.2">
      <c r="A4" s="1">
        <v>2026</v>
      </c>
      <c r="B4" s="9">
        <v>0.95714800406138667</v>
      </c>
    </row>
    <row r="5" spans="1:2" x14ac:dyDescent="0.2">
      <c r="A5" s="1">
        <v>2027</v>
      </c>
      <c r="B5" s="9">
        <v>0.9710400680321567</v>
      </c>
    </row>
    <row r="6" spans="1:2" x14ac:dyDescent="0.2">
      <c r="A6" s="1">
        <v>2028</v>
      </c>
      <c r="B6" s="9">
        <v>0.975944309112035</v>
      </c>
    </row>
    <row r="7" spans="1:2" x14ac:dyDescent="0.2">
      <c r="A7" s="1">
        <v>2029</v>
      </c>
      <c r="B7" s="9">
        <v>0.97594431313201535</v>
      </c>
    </row>
    <row r="8" spans="1:2" x14ac:dyDescent="0.2">
      <c r="A8" s="1">
        <v>2030</v>
      </c>
      <c r="B8" s="9">
        <v>0.97594431313201535</v>
      </c>
    </row>
    <row r="9" spans="1:2" x14ac:dyDescent="0.2">
      <c r="A9" s="1">
        <v>2031</v>
      </c>
      <c r="B9" s="9">
        <v>0.97594431313201535</v>
      </c>
    </row>
    <row r="10" spans="1:2" x14ac:dyDescent="0.2">
      <c r="A10" s="1">
        <v>2032</v>
      </c>
      <c r="B10" s="9">
        <v>0.97594431313201535</v>
      </c>
    </row>
    <row r="11" spans="1:2" x14ac:dyDescent="0.2">
      <c r="A11" s="1">
        <v>2033</v>
      </c>
      <c r="B11" s="9">
        <v>0.97594431313201535</v>
      </c>
    </row>
    <row r="12" spans="1:2" x14ac:dyDescent="0.2">
      <c r="A12" s="1">
        <v>2034</v>
      </c>
      <c r="B12" s="9">
        <v>0.97594431313201535</v>
      </c>
    </row>
    <row r="13" spans="1:2" x14ac:dyDescent="0.2">
      <c r="A13" s="1">
        <v>2035</v>
      </c>
      <c r="B13" s="9">
        <v>0.97594431313201535</v>
      </c>
    </row>
    <row r="14" spans="1:2" x14ac:dyDescent="0.2">
      <c r="B14" s="9"/>
    </row>
    <row r="15" spans="1:2" x14ac:dyDescent="0.2">
      <c r="B15" s="9"/>
    </row>
    <row r="16" spans="1:2" x14ac:dyDescent="0.2">
      <c r="B16" s="9"/>
    </row>
    <row r="17" spans="2:2" x14ac:dyDescent="0.2">
      <c r="B17" s="9"/>
    </row>
    <row r="18" spans="2:2" x14ac:dyDescent="0.2">
      <c r="B18" s="9"/>
    </row>
    <row r="19" spans="2:2" x14ac:dyDescent="0.2">
      <c r="B19" s="9"/>
    </row>
    <row r="20" spans="2:2" x14ac:dyDescent="0.2">
      <c r="B20" s="9"/>
    </row>
    <row r="21" spans="2:2" x14ac:dyDescent="0.2">
      <c r="B21" s="9"/>
    </row>
    <row r="22" spans="2:2" x14ac:dyDescent="0.2">
      <c r="B22" s="9"/>
    </row>
    <row r="23" spans="2:2" x14ac:dyDescent="0.2">
      <c r="B23" s="9"/>
    </row>
    <row r="24" spans="2:2" x14ac:dyDescent="0.2">
      <c r="B24" s="9"/>
    </row>
    <row r="25" spans="2:2" x14ac:dyDescent="0.2">
      <c r="B25" s="9"/>
    </row>
    <row r="26" spans="2:2" x14ac:dyDescent="0.2">
      <c r="B26" s="9"/>
    </row>
    <row r="27" spans="2:2" x14ac:dyDescent="0.2">
      <c r="B27" s="9"/>
    </row>
    <row r="28" spans="2:2" x14ac:dyDescent="0.2">
      <c r="B2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9447-EAF3-0741-8AA5-194F03B3A76B}">
  <sheetPr codeName="Sheet32"/>
  <dimension ref="A1:H42"/>
  <sheetViews>
    <sheetView zoomScaleNormal="100" workbookViewId="0"/>
  </sheetViews>
  <sheetFormatPr baseColWidth="10" defaultRowHeight="16" x14ac:dyDescent="0.2"/>
  <cols>
    <col min="1" max="8" width="9.83203125" style="3" customWidth="1"/>
    <col min="9" max="16384" width="10.83203125" style="4"/>
  </cols>
  <sheetData>
    <row r="1" spans="1:8" s="15" customFormat="1" x14ac:dyDescent="0.2">
      <c r="A1" s="15" t="s">
        <v>0</v>
      </c>
      <c r="B1" s="15" t="s">
        <v>6</v>
      </c>
      <c r="C1" s="15" t="s">
        <v>4</v>
      </c>
      <c r="D1" s="15" t="s">
        <v>8</v>
      </c>
      <c r="E1" s="15" t="s">
        <v>3</v>
      </c>
      <c r="F1" s="15" t="s">
        <v>9</v>
      </c>
      <c r="G1" s="15" t="s">
        <v>5</v>
      </c>
      <c r="H1" s="15" t="s">
        <v>42</v>
      </c>
    </row>
    <row r="2" spans="1:8" x14ac:dyDescent="0.2">
      <c r="A2" s="4">
        <v>2010</v>
      </c>
      <c r="B2" s="8">
        <v>7.0000000000000007E-2</v>
      </c>
      <c r="C2" s="8">
        <v>0.36622818415811131</v>
      </c>
      <c r="D2" s="8">
        <v>0.30832410287088613</v>
      </c>
      <c r="E2" s="8">
        <v>0.24544771297100265</v>
      </c>
      <c r="F2" s="8">
        <v>2.7215892188959703E-3</v>
      </c>
      <c r="G2" s="8">
        <v>7.2784107811040303E-3</v>
      </c>
      <c r="H2" s="8">
        <v>0</v>
      </c>
    </row>
    <row r="3" spans="1:8" x14ac:dyDescent="0.2">
      <c r="A3" s="4">
        <v>2011</v>
      </c>
      <c r="B3" s="8">
        <v>7.0000000000000007E-2</v>
      </c>
      <c r="C3" s="8">
        <v>0.36622818415811131</v>
      </c>
      <c r="D3" s="8">
        <v>0.30832410287088613</v>
      </c>
      <c r="E3" s="8">
        <v>0.24544771297100265</v>
      </c>
      <c r="F3" s="8">
        <v>2.7215892188959703E-3</v>
      </c>
      <c r="G3" s="8">
        <v>7.2784107811040303E-3</v>
      </c>
      <c r="H3" s="8">
        <v>0</v>
      </c>
    </row>
    <row r="4" spans="1:8" x14ac:dyDescent="0.2">
      <c r="A4" s="4">
        <v>2012</v>
      </c>
      <c r="B4" s="8">
        <v>7.0000000000000007E-2</v>
      </c>
      <c r="C4" s="8">
        <v>0.36622818415811131</v>
      </c>
      <c r="D4" s="8">
        <v>0.30832410287088613</v>
      </c>
      <c r="E4" s="8">
        <v>0.24544771297100265</v>
      </c>
      <c r="F4" s="8">
        <v>2.7215892188959703E-3</v>
      </c>
      <c r="G4" s="8">
        <v>7.2784107811040303E-3</v>
      </c>
      <c r="H4" s="8">
        <v>0</v>
      </c>
    </row>
    <row r="5" spans="1:8" x14ac:dyDescent="0.2">
      <c r="A5" s="4">
        <v>2013</v>
      </c>
      <c r="B5" s="8">
        <v>7.0000000000000007E-2</v>
      </c>
      <c r="C5" s="8">
        <v>0.36622818415811131</v>
      </c>
      <c r="D5" s="8">
        <v>0.30832410287088613</v>
      </c>
      <c r="E5" s="8">
        <v>0.24544771297100265</v>
      </c>
      <c r="F5" s="8">
        <v>2.7215892188959703E-3</v>
      </c>
      <c r="G5" s="8">
        <v>7.2784107811040303E-3</v>
      </c>
      <c r="H5" s="8">
        <v>0</v>
      </c>
    </row>
    <row r="6" spans="1:8" x14ac:dyDescent="0.2">
      <c r="A6" s="4">
        <v>2014</v>
      </c>
      <c r="B6" s="8">
        <v>7.0000000000000007E-2</v>
      </c>
      <c r="C6" s="8">
        <v>0.36622818415811131</v>
      </c>
      <c r="D6" s="8">
        <v>0.30832410287088613</v>
      </c>
      <c r="E6" s="8">
        <v>0.24544771297100265</v>
      </c>
      <c r="F6" s="8">
        <v>2.7215892188959703E-3</v>
      </c>
      <c r="G6" s="8">
        <v>7.2784107811040303E-3</v>
      </c>
      <c r="H6" s="8">
        <v>0</v>
      </c>
    </row>
    <row r="7" spans="1:8" x14ac:dyDescent="0.2">
      <c r="A7" s="4">
        <v>2015</v>
      </c>
      <c r="B7" s="8">
        <v>7.0000000000000007E-2</v>
      </c>
      <c r="C7" s="8">
        <v>0.36622818415811131</v>
      </c>
      <c r="D7" s="8">
        <v>0.30832410287088613</v>
      </c>
      <c r="E7" s="8">
        <v>0.24544771297100265</v>
      </c>
      <c r="F7" s="8">
        <v>2.7215892188959703E-3</v>
      </c>
      <c r="G7" s="8">
        <v>7.2784107811040303E-3</v>
      </c>
      <c r="H7" s="8">
        <v>0</v>
      </c>
    </row>
    <row r="8" spans="1:8" x14ac:dyDescent="0.2">
      <c r="A8" s="4">
        <v>2016</v>
      </c>
      <c r="B8" s="8">
        <v>7.0000000000000007E-2</v>
      </c>
      <c r="C8" s="8">
        <v>0.36622818415811131</v>
      </c>
      <c r="D8" s="8">
        <v>0.30832410287088613</v>
      </c>
      <c r="E8" s="8">
        <v>0.24544771297100265</v>
      </c>
      <c r="F8" s="8">
        <v>2.7215892188959703E-3</v>
      </c>
      <c r="G8" s="8">
        <v>7.2784107811040303E-3</v>
      </c>
      <c r="H8" s="8">
        <v>0</v>
      </c>
    </row>
    <row r="9" spans="1:8" x14ac:dyDescent="0.2">
      <c r="A9" s="4">
        <v>2017</v>
      </c>
      <c r="B9" s="8">
        <v>7.0000000000000007E-2</v>
      </c>
      <c r="C9" s="8">
        <v>0.36622818415811131</v>
      </c>
      <c r="D9" s="8">
        <v>0.30832410287088613</v>
      </c>
      <c r="E9" s="8">
        <v>0.24544771297100265</v>
      </c>
      <c r="F9" s="8">
        <v>2.7215892188959703E-3</v>
      </c>
      <c r="G9" s="8">
        <v>7.2784107811040303E-3</v>
      </c>
      <c r="H9" s="8">
        <v>0</v>
      </c>
    </row>
    <row r="10" spans="1:8" x14ac:dyDescent="0.2">
      <c r="A10" s="4">
        <v>2018</v>
      </c>
      <c r="B10" s="8">
        <v>7.0000000000000007E-2</v>
      </c>
      <c r="C10" s="8">
        <v>0.36622818415811131</v>
      </c>
      <c r="D10" s="8">
        <v>0.30832410287088613</v>
      </c>
      <c r="E10" s="8">
        <v>0.24544771297100265</v>
      </c>
      <c r="F10" s="8">
        <v>2.7215892188959703E-3</v>
      </c>
      <c r="G10" s="8">
        <v>7.2784107811040303E-3</v>
      </c>
      <c r="H10" s="8">
        <v>0</v>
      </c>
    </row>
    <row r="11" spans="1:8" x14ac:dyDescent="0.2">
      <c r="A11" s="4">
        <v>2019</v>
      </c>
      <c r="B11" s="8">
        <v>7.0000000000000007E-2</v>
      </c>
      <c r="C11" s="8">
        <v>0.36622818415811131</v>
      </c>
      <c r="D11" s="8">
        <v>0.30832410287088613</v>
      </c>
      <c r="E11" s="8">
        <v>0.24544771297100265</v>
      </c>
      <c r="F11" s="8">
        <v>2.7215892188959703E-3</v>
      </c>
      <c r="G11" s="8">
        <v>7.2784107811040303E-3</v>
      </c>
      <c r="H11" s="8">
        <v>0</v>
      </c>
    </row>
    <row r="12" spans="1:8" x14ac:dyDescent="0.2">
      <c r="A12" s="4">
        <v>2020</v>
      </c>
      <c r="B12" s="8">
        <v>7.0000000000000007E-2</v>
      </c>
      <c r="C12" s="8">
        <v>0.36622818415811131</v>
      </c>
      <c r="D12" s="8">
        <v>0.30832410287088613</v>
      </c>
      <c r="E12" s="8">
        <v>0.24544771297100265</v>
      </c>
      <c r="F12" s="8">
        <v>2.7215892188959703E-3</v>
      </c>
      <c r="G12" s="8">
        <v>7.2784107811040303E-3</v>
      </c>
      <c r="H12" s="8">
        <v>0</v>
      </c>
    </row>
    <row r="13" spans="1:8" x14ac:dyDescent="0.2">
      <c r="A13" s="4">
        <v>2021</v>
      </c>
      <c r="B13" s="8">
        <v>7.0000000000000007E-2</v>
      </c>
      <c r="C13" s="8">
        <v>0.36622818415811131</v>
      </c>
      <c r="D13" s="8">
        <v>0.30832410287088613</v>
      </c>
      <c r="E13" s="8">
        <v>0.24544771297100265</v>
      </c>
      <c r="F13" s="8">
        <v>2.7215892188959703E-3</v>
      </c>
      <c r="G13" s="8">
        <v>7.2784107811040303E-3</v>
      </c>
      <c r="H13" s="8">
        <v>0</v>
      </c>
    </row>
    <row r="14" spans="1:8" x14ac:dyDescent="0.2">
      <c r="A14" s="4">
        <v>2022</v>
      </c>
      <c r="B14" s="8">
        <v>7.0000000000000007E-2</v>
      </c>
      <c r="C14" s="8">
        <v>0.36622818415811131</v>
      </c>
      <c r="D14" s="8">
        <v>0.30832410287088613</v>
      </c>
      <c r="E14" s="8">
        <v>0.24544771297100265</v>
      </c>
      <c r="F14" s="8">
        <v>2.7215892188959703E-3</v>
      </c>
      <c r="G14" s="8">
        <v>7.2784107811040303E-3</v>
      </c>
      <c r="H14" s="8">
        <v>0</v>
      </c>
    </row>
    <row r="15" spans="1:8" x14ac:dyDescent="0.2">
      <c r="A15" s="4">
        <v>2023</v>
      </c>
      <c r="B15" s="8">
        <v>7.0000000000000007E-2</v>
      </c>
      <c r="C15" s="8">
        <v>0.36622818415811131</v>
      </c>
      <c r="D15" s="8">
        <v>0.30832410287088613</v>
      </c>
      <c r="E15" s="8">
        <v>0.24544771297100265</v>
      </c>
      <c r="F15" s="8">
        <v>2.7215892188959703E-3</v>
      </c>
      <c r="G15" s="8">
        <v>7.2784107811040303E-3</v>
      </c>
      <c r="H15" s="8">
        <v>0</v>
      </c>
    </row>
    <row r="16" spans="1:8" x14ac:dyDescent="0.2">
      <c r="A16" s="4">
        <v>2024</v>
      </c>
      <c r="B16" s="8">
        <v>0.08</v>
      </c>
      <c r="C16" s="8">
        <v>0.36622818415811131</v>
      </c>
      <c r="D16" s="8">
        <v>0.30832410287088613</v>
      </c>
      <c r="E16" s="8">
        <v>0.24544771297100265</v>
      </c>
      <c r="F16" s="8">
        <v>0</v>
      </c>
      <c r="G16" s="8">
        <v>0</v>
      </c>
      <c r="H16" s="8">
        <v>0</v>
      </c>
    </row>
    <row r="17" spans="1:8" x14ac:dyDescent="0.2">
      <c r="A17" s="4">
        <v>2025</v>
      </c>
      <c r="B17" s="8">
        <v>4.0816627132560894E-2</v>
      </c>
      <c r="C17" s="8">
        <v>0.42277074869479625</v>
      </c>
      <c r="D17" s="8">
        <v>0.35592676219343039</v>
      </c>
      <c r="E17" s="8">
        <v>0.1689419457274727</v>
      </c>
      <c r="F17" s="8">
        <v>3.1417798014572911E-3</v>
      </c>
      <c r="G17" s="8">
        <v>8.4021364502824686E-3</v>
      </c>
      <c r="H17" s="8">
        <v>0</v>
      </c>
    </row>
    <row r="18" spans="1:8" x14ac:dyDescent="0.2">
      <c r="A18" s="4">
        <v>2026</v>
      </c>
      <c r="B18" s="8">
        <v>2.1421099425724757E-2</v>
      </c>
      <c r="C18" s="8">
        <v>0.41475361376756814</v>
      </c>
      <c r="D18" s="8">
        <v>0.34917721084550546</v>
      </c>
      <c r="E18" s="8">
        <v>0.20332307063095909</v>
      </c>
      <c r="F18" s="8">
        <v>3.0822012410727669E-3</v>
      </c>
      <c r="G18" s="8">
        <v>8.2428040891698376E-3</v>
      </c>
      <c r="H18" s="8">
        <v>0</v>
      </c>
    </row>
    <row r="19" spans="1:8" x14ac:dyDescent="0.2">
      <c r="A19" s="4">
        <v>2027</v>
      </c>
      <c r="B19" s="8">
        <v>3.0958999401311846E-2</v>
      </c>
      <c r="C19" s="8">
        <v>0.38597249936243488</v>
      </c>
      <c r="D19" s="8">
        <v>0.32494665824894198</v>
      </c>
      <c r="E19" s="8">
        <v>0.24758271694353856</v>
      </c>
      <c r="F19" s="8">
        <v>2.8683171817317616E-3</v>
      </c>
      <c r="G19" s="8">
        <v>7.6708088620409745E-3</v>
      </c>
      <c r="H19" s="8">
        <v>0</v>
      </c>
    </row>
    <row r="20" spans="1:8" x14ac:dyDescent="0.2">
      <c r="A20" s="4">
        <v>2028</v>
      </c>
      <c r="B20" s="8">
        <v>3.6770332542394507E-2</v>
      </c>
      <c r="C20" s="8">
        <v>0.3755584399681563</v>
      </c>
      <c r="D20" s="8">
        <v>0.31617915848000333</v>
      </c>
      <c r="E20" s="8">
        <v>0.26123730282230789</v>
      </c>
      <c r="F20" s="8">
        <v>2.7909261097213822E-3</v>
      </c>
      <c r="G20" s="8">
        <v>7.4638400774166575E-3</v>
      </c>
      <c r="H20" s="8">
        <v>0</v>
      </c>
    </row>
    <row r="21" spans="1:8" x14ac:dyDescent="0.2">
      <c r="A21" s="4">
        <v>2029</v>
      </c>
      <c r="B21" s="8">
        <v>5.218908482546572E-2</v>
      </c>
      <c r="C21" s="8">
        <v>0.36412001808119249</v>
      </c>
      <c r="D21" s="8">
        <v>0.30654925745350498</v>
      </c>
      <c r="E21" s="8">
        <v>0.26719920391719482</v>
      </c>
      <c r="F21" s="8">
        <v>2.7059225872308676E-3</v>
      </c>
      <c r="G21" s="8">
        <v>7.2365131354111493E-3</v>
      </c>
      <c r="H21" s="8">
        <v>0</v>
      </c>
    </row>
    <row r="22" spans="1:8" x14ac:dyDescent="0.2">
      <c r="A22" s="4">
        <v>2030</v>
      </c>
      <c r="B22" s="8">
        <v>5.218908482546572E-2</v>
      </c>
      <c r="C22" s="8">
        <v>0.36412001808119249</v>
      </c>
      <c r="D22" s="8">
        <v>0.30654925745350498</v>
      </c>
      <c r="E22" s="8">
        <v>0.26719920391719482</v>
      </c>
      <c r="F22" s="8">
        <v>2.7059225872308676E-3</v>
      </c>
      <c r="G22" s="8">
        <v>7.2365131354111493E-3</v>
      </c>
      <c r="H22" s="8">
        <v>0</v>
      </c>
    </row>
    <row r="23" spans="1:8" x14ac:dyDescent="0.2">
      <c r="A23" s="4">
        <v>2031</v>
      </c>
      <c r="B23" s="8">
        <v>5.218908482546572E-2</v>
      </c>
      <c r="C23" s="8">
        <v>0.36412001808119249</v>
      </c>
      <c r="D23" s="8">
        <v>0.30654925745350498</v>
      </c>
      <c r="E23" s="8">
        <v>0.26719920391719482</v>
      </c>
      <c r="F23" s="8">
        <v>2.7059225872308676E-3</v>
      </c>
      <c r="G23" s="8">
        <v>7.2365131354111493E-3</v>
      </c>
      <c r="H23" s="8">
        <v>0</v>
      </c>
    </row>
    <row r="24" spans="1:8" x14ac:dyDescent="0.2">
      <c r="A24" s="4">
        <v>2032</v>
      </c>
      <c r="B24" s="8">
        <v>5.218908482546572E-2</v>
      </c>
      <c r="C24" s="8">
        <v>0.36412001808119249</v>
      </c>
      <c r="D24" s="8">
        <v>0.30654925745350498</v>
      </c>
      <c r="E24" s="8">
        <v>0.26719920391719482</v>
      </c>
      <c r="F24" s="8">
        <v>2.7059225872308676E-3</v>
      </c>
      <c r="G24" s="8">
        <v>7.2365131354111493E-3</v>
      </c>
      <c r="H24" s="8">
        <v>0</v>
      </c>
    </row>
    <row r="25" spans="1:8" x14ac:dyDescent="0.2">
      <c r="A25" s="4">
        <v>2033</v>
      </c>
      <c r="B25" s="8">
        <v>5.218908482546572E-2</v>
      </c>
      <c r="C25" s="8">
        <v>0.36412001808119249</v>
      </c>
      <c r="D25" s="8">
        <v>0.30654925745350498</v>
      </c>
      <c r="E25" s="8">
        <v>0.26719920391719482</v>
      </c>
      <c r="F25" s="8">
        <v>2.7059225872308676E-3</v>
      </c>
      <c r="G25" s="8">
        <v>7.2365131354111493E-3</v>
      </c>
      <c r="H25" s="8">
        <v>0</v>
      </c>
    </row>
    <row r="26" spans="1:8" x14ac:dyDescent="0.2">
      <c r="A26" s="4">
        <v>2034</v>
      </c>
      <c r="B26" s="8">
        <v>5.218908482546572E-2</v>
      </c>
      <c r="C26" s="8">
        <v>0.36412001808119249</v>
      </c>
      <c r="D26" s="8">
        <v>0.30654925745350498</v>
      </c>
      <c r="E26" s="8">
        <v>0.26719920391719482</v>
      </c>
      <c r="F26" s="8">
        <v>2.7059225872308676E-3</v>
      </c>
      <c r="G26" s="8">
        <v>7.2365131354111493E-3</v>
      </c>
      <c r="H26" s="8">
        <v>0</v>
      </c>
    </row>
    <row r="27" spans="1:8" x14ac:dyDescent="0.2">
      <c r="A27" s="4">
        <v>2035</v>
      </c>
      <c r="B27" s="8">
        <v>5.218908482546572E-2</v>
      </c>
      <c r="C27" s="8">
        <v>0.36412001808119249</v>
      </c>
      <c r="D27" s="8">
        <v>0.30654925745350498</v>
      </c>
      <c r="E27" s="8">
        <v>0.26719920391719482</v>
      </c>
      <c r="F27" s="8">
        <v>2.7059225872308676E-3</v>
      </c>
      <c r="G27" s="8">
        <v>7.2365131354111493E-3</v>
      </c>
      <c r="H27" s="8">
        <v>0</v>
      </c>
    </row>
    <row r="28" spans="1:8" x14ac:dyDescent="0.2">
      <c r="A28" s="4"/>
      <c r="B28" s="8"/>
      <c r="C28" s="8"/>
      <c r="D28" s="8"/>
      <c r="E28" s="8"/>
      <c r="F28" s="8"/>
      <c r="G28" s="8"/>
      <c r="H28" s="8"/>
    </row>
    <row r="29" spans="1:8" x14ac:dyDescent="0.2">
      <c r="A29" s="4"/>
      <c r="B29" s="8"/>
      <c r="C29" s="8"/>
      <c r="D29" s="8"/>
      <c r="E29" s="8"/>
      <c r="F29" s="8"/>
      <c r="G29" s="8"/>
      <c r="H29" s="8"/>
    </row>
    <row r="30" spans="1:8" x14ac:dyDescent="0.2">
      <c r="A30" s="4"/>
      <c r="B30" s="8"/>
      <c r="C30" s="8"/>
      <c r="D30" s="8"/>
      <c r="E30" s="8"/>
      <c r="F30" s="8"/>
      <c r="G30" s="8"/>
      <c r="H30" s="8"/>
    </row>
    <row r="31" spans="1:8" x14ac:dyDescent="0.2">
      <c r="A31" s="4"/>
      <c r="B31" s="8"/>
      <c r="C31" s="8"/>
      <c r="D31" s="8"/>
      <c r="E31" s="8"/>
      <c r="F31" s="8"/>
      <c r="G31" s="8"/>
      <c r="H31" s="8"/>
    </row>
    <row r="32" spans="1:8" x14ac:dyDescent="0.2">
      <c r="A32" s="4"/>
      <c r="B32" s="8"/>
      <c r="C32" s="8"/>
      <c r="D32" s="8"/>
      <c r="E32" s="8"/>
      <c r="F32" s="8"/>
      <c r="G32" s="8"/>
      <c r="H32" s="8"/>
    </row>
    <row r="33" spans="1:8" x14ac:dyDescent="0.2">
      <c r="A33" s="4"/>
      <c r="B33" s="8"/>
      <c r="C33" s="8"/>
      <c r="D33" s="8"/>
      <c r="E33" s="8"/>
      <c r="F33" s="8"/>
      <c r="G33" s="8"/>
      <c r="H33" s="8"/>
    </row>
    <row r="34" spans="1:8" x14ac:dyDescent="0.2">
      <c r="A34" s="4"/>
      <c r="B34" s="8"/>
      <c r="C34" s="8"/>
      <c r="D34" s="8"/>
      <c r="E34" s="8"/>
      <c r="F34" s="8"/>
      <c r="G34" s="8"/>
      <c r="H34" s="8"/>
    </row>
    <row r="35" spans="1:8" x14ac:dyDescent="0.2">
      <c r="A35" s="4"/>
      <c r="B35" s="8"/>
      <c r="C35" s="8"/>
      <c r="D35" s="8"/>
      <c r="E35" s="8"/>
      <c r="F35" s="8"/>
      <c r="G35" s="8"/>
      <c r="H35" s="8"/>
    </row>
    <row r="36" spans="1:8" x14ac:dyDescent="0.2">
      <c r="A36" s="4"/>
      <c r="B36" s="8"/>
      <c r="C36" s="8"/>
      <c r="D36" s="8"/>
      <c r="E36" s="8"/>
      <c r="F36" s="8"/>
      <c r="G36" s="8"/>
      <c r="H36" s="8"/>
    </row>
    <row r="37" spans="1:8" x14ac:dyDescent="0.2">
      <c r="A37" s="4"/>
      <c r="B37" s="8"/>
      <c r="C37" s="8"/>
      <c r="D37" s="8"/>
      <c r="E37" s="8"/>
      <c r="F37" s="8"/>
      <c r="G37" s="8"/>
      <c r="H37" s="8"/>
    </row>
    <row r="38" spans="1:8" x14ac:dyDescent="0.2">
      <c r="A38" s="4"/>
      <c r="B38" s="8"/>
      <c r="C38" s="8"/>
      <c r="D38" s="8"/>
      <c r="E38" s="8"/>
      <c r="F38" s="8"/>
      <c r="G38" s="8"/>
      <c r="H38" s="8"/>
    </row>
    <row r="39" spans="1:8" x14ac:dyDescent="0.2">
      <c r="A39" s="4"/>
      <c r="B39" s="8"/>
      <c r="C39" s="8"/>
      <c r="D39" s="8"/>
      <c r="E39" s="8"/>
      <c r="F39" s="8"/>
      <c r="G39" s="8"/>
      <c r="H39" s="8"/>
    </row>
    <row r="40" spans="1:8" x14ac:dyDescent="0.2">
      <c r="A40" s="4"/>
      <c r="B40" s="8"/>
      <c r="C40" s="8"/>
      <c r="D40" s="8"/>
      <c r="E40" s="8"/>
      <c r="F40" s="8"/>
      <c r="G40" s="8"/>
      <c r="H40" s="8"/>
    </row>
    <row r="41" spans="1:8" x14ac:dyDescent="0.2">
      <c r="A41" s="4"/>
      <c r="B41" s="8"/>
      <c r="C41" s="8"/>
      <c r="D41" s="8"/>
      <c r="E41" s="8"/>
      <c r="F41" s="8"/>
      <c r="G41" s="8"/>
      <c r="H41" s="8"/>
    </row>
    <row r="42" spans="1:8" x14ac:dyDescent="0.2">
      <c r="A42" s="4"/>
      <c r="B42" s="8"/>
      <c r="C42" s="8"/>
      <c r="D42" s="8"/>
      <c r="E42" s="8"/>
      <c r="F42" s="8"/>
      <c r="G42" s="8"/>
      <c r="H4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C9BD-D5CA-8F45-AD27-7A02606B3DAC}">
  <sheetPr codeName="Sheet64"/>
  <dimension ref="A1:O42"/>
  <sheetViews>
    <sheetView workbookViewId="0"/>
  </sheetViews>
  <sheetFormatPr baseColWidth="10" defaultRowHeight="16" x14ac:dyDescent="0.2"/>
  <cols>
    <col min="1" max="1" width="10.83203125" style="1"/>
    <col min="2" max="2" width="13.1640625" style="1" bestFit="1" customWidth="1"/>
    <col min="3" max="3" width="14" style="1" bestFit="1" customWidth="1"/>
    <col min="4" max="7" width="17.5" style="1" bestFit="1" customWidth="1"/>
    <col min="8" max="8" width="12.83203125" style="1" bestFit="1" customWidth="1"/>
    <col min="9" max="9" width="14.5" style="1" bestFit="1" customWidth="1"/>
    <col min="10" max="10" width="15.33203125" style="1" bestFit="1" customWidth="1"/>
    <col min="11" max="14" width="18.83203125" style="1" bestFit="1" customWidth="1"/>
    <col min="15" max="15" width="14.1640625" style="1" bestFit="1" customWidth="1"/>
    <col min="16" max="16384" width="10.83203125" style="1"/>
  </cols>
  <sheetData>
    <row r="1" spans="1:15" s="16" customFormat="1" x14ac:dyDescent="0.2">
      <c r="A1" s="16" t="s">
        <v>0</v>
      </c>
      <c r="B1" s="16" t="s">
        <v>48</v>
      </c>
      <c r="C1" s="16" t="s">
        <v>49</v>
      </c>
      <c r="D1" s="16" t="s">
        <v>50</v>
      </c>
      <c r="E1" s="16" t="s">
        <v>51</v>
      </c>
      <c r="F1" s="16" t="s">
        <v>52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59</v>
      </c>
      <c r="N1" s="16" t="s">
        <v>60</v>
      </c>
      <c r="O1" s="16" t="s">
        <v>61</v>
      </c>
    </row>
    <row r="2" spans="1:15" x14ac:dyDescent="0.2">
      <c r="A2" s="1">
        <v>2010</v>
      </c>
      <c r="B2" s="9">
        <v>0.88700057894385365</v>
      </c>
      <c r="C2" s="9">
        <v>0.67360116973648143</v>
      </c>
      <c r="D2" s="9">
        <v>0.72864385368937845</v>
      </c>
      <c r="E2" s="9">
        <v>0.69909665194092119</v>
      </c>
      <c r="F2" s="9">
        <v>0.69388435734444909</v>
      </c>
      <c r="G2" s="9">
        <v>0.65715344157964872</v>
      </c>
      <c r="H2" s="9">
        <v>0.88700057894385365</v>
      </c>
      <c r="I2" s="9">
        <v>0.12549796772853181</v>
      </c>
      <c r="J2" s="9">
        <v>9.5995916979813259E-2</v>
      </c>
      <c r="K2" s="9">
        <v>0.10319544290925388</v>
      </c>
      <c r="L2" s="9">
        <v>9.947974997602535E-2</v>
      </c>
      <c r="M2" s="9">
        <v>9.8695313990392747E-2</v>
      </c>
      <c r="N2" s="9">
        <v>9.3325875801004057E-2</v>
      </c>
      <c r="O2" s="9">
        <v>0.12549796772853181</v>
      </c>
    </row>
    <row r="3" spans="1:15" x14ac:dyDescent="0.2">
      <c r="A3" s="1">
        <v>2011</v>
      </c>
      <c r="B3" s="9">
        <v>0.88700057894385365</v>
      </c>
      <c r="C3" s="9">
        <v>0.67360116973648143</v>
      </c>
      <c r="D3" s="9">
        <v>0.72864385368937845</v>
      </c>
      <c r="E3" s="9">
        <v>0.69909665194092119</v>
      </c>
      <c r="F3" s="9">
        <v>0.69388435734444909</v>
      </c>
      <c r="G3" s="9">
        <v>0.65715344157964872</v>
      </c>
      <c r="H3" s="9">
        <v>0.88700057894385365</v>
      </c>
      <c r="I3" s="9">
        <v>0.12549796772853181</v>
      </c>
      <c r="J3" s="9">
        <v>9.5995916979813259E-2</v>
      </c>
      <c r="K3" s="9">
        <v>0.10319544290925388</v>
      </c>
      <c r="L3" s="9">
        <v>9.947974997602535E-2</v>
      </c>
      <c r="M3" s="9">
        <v>9.8695313990392747E-2</v>
      </c>
      <c r="N3" s="9">
        <v>9.3325875801004057E-2</v>
      </c>
      <c r="O3" s="9">
        <v>0.12549796772853181</v>
      </c>
    </row>
    <row r="4" spans="1:15" x14ac:dyDescent="0.2">
      <c r="A4" s="1">
        <v>2012</v>
      </c>
      <c r="B4" s="9">
        <v>0.88700057894385365</v>
      </c>
      <c r="C4" s="9">
        <v>0.67360116973648143</v>
      </c>
      <c r="D4" s="9">
        <v>0.72864385368937845</v>
      </c>
      <c r="E4" s="9">
        <v>0.69909665194092119</v>
      </c>
      <c r="F4" s="9">
        <v>0.69388435734444909</v>
      </c>
      <c r="G4" s="9">
        <v>0.65715344157964872</v>
      </c>
      <c r="H4" s="9">
        <v>0.88700057894385365</v>
      </c>
      <c r="I4" s="9">
        <v>0.12549796772853181</v>
      </c>
      <c r="J4" s="9">
        <v>9.5995916979813259E-2</v>
      </c>
      <c r="K4" s="9">
        <v>0.10319544290925388</v>
      </c>
      <c r="L4" s="9">
        <v>9.947974997602535E-2</v>
      </c>
      <c r="M4" s="9">
        <v>9.8695313990392747E-2</v>
      </c>
      <c r="N4" s="9">
        <v>9.3325875801004057E-2</v>
      </c>
      <c r="O4" s="9">
        <v>0.12549796772853181</v>
      </c>
    </row>
    <row r="5" spans="1:15" x14ac:dyDescent="0.2">
      <c r="A5" s="1">
        <v>2013</v>
      </c>
      <c r="B5" s="9">
        <v>0.88700057894385365</v>
      </c>
      <c r="C5" s="9">
        <v>0.67360116973648143</v>
      </c>
      <c r="D5" s="9">
        <v>0.72864385368937845</v>
      </c>
      <c r="E5" s="9">
        <v>0.69909665194092119</v>
      </c>
      <c r="F5" s="9">
        <v>0.69388435734444909</v>
      </c>
      <c r="G5" s="9">
        <v>0.65715344157964872</v>
      </c>
      <c r="H5" s="9">
        <v>0.88700057894385365</v>
      </c>
      <c r="I5" s="9">
        <v>0.12549796772853181</v>
      </c>
      <c r="J5" s="9">
        <v>9.5995916979813259E-2</v>
      </c>
      <c r="K5" s="9">
        <v>0.10319544290925388</v>
      </c>
      <c r="L5" s="9">
        <v>9.947974997602535E-2</v>
      </c>
      <c r="M5" s="9">
        <v>9.8695313990392747E-2</v>
      </c>
      <c r="N5" s="9">
        <v>9.3325875801004057E-2</v>
      </c>
      <c r="O5" s="9">
        <v>0.12549796772853181</v>
      </c>
    </row>
    <row r="6" spans="1:15" x14ac:dyDescent="0.2">
      <c r="A6" s="1">
        <v>2014</v>
      </c>
      <c r="B6" s="9">
        <v>0.88700057894385365</v>
      </c>
      <c r="C6" s="9">
        <v>0.67360116973648143</v>
      </c>
      <c r="D6" s="9">
        <v>0.72864385368937845</v>
      </c>
      <c r="E6" s="9">
        <v>0.69909665194092119</v>
      </c>
      <c r="F6" s="9">
        <v>0.69388435734444909</v>
      </c>
      <c r="G6" s="9">
        <v>0.65715344157964872</v>
      </c>
      <c r="H6" s="9">
        <v>0.88700057894385365</v>
      </c>
      <c r="I6" s="9">
        <v>0.12549796772853181</v>
      </c>
      <c r="J6" s="9">
        <v>9.5995916979813259E-2</v>
      </c>
      <c r="K6" s="9">
        <v>0.10319544290925388</v>
      </c>
      <c r="L6" s="9">
        <v>9.947974997602535E-2</v>
      </c>
      <c r="M6" s="9">
        <v>9.8695313990392747E-2</v>
      </c>
      <c r="N6" s="9">
        <v>9.3325875801004057E-2</v>
      </c>
      <c r="O6" s="9">
        <v>0.12549796772853181</v>
      </c>
    </row>
    <row r="7" spans="1:15" x14ac:dyDescent="0.2">
      <c r="A7" s="1">
        <v>2015</v>
      </c>
      <c r="B7" s="9">
        <v>0.88700057894385365</v>
      </c>
      <c r="C7" s="9">
        <v>0.67360116973648143</v>
      </c>
      <c r="D7" s="9">
        <v>0.72864385368937845</v>
      </c>
      <c r="E7" s="9">
        <v>0.69909665194092119</v>
      </c>
      <c r="F7" s="9">
        <v>0.69388435734444909</v>
      </c>
      <c r="G7" s="9">
        <v>0.65715344157964872</v>
      </c>
      <c r="H7" s="9">
        <v>0.88700057894385365</v>
      </c>
      <c r="I7" s="9">
        <v>0.12549796772853181</v>
      </c>
      <c r="J7" s="9">
        <v>9.5995916979813259E-2</v>
      </c>
      <c r="K7" s="9">
        <v>0.10319544290925388</v>
      </c>
      <c r="L7" s="9">
        <v>9.947974997602535E-2</v>
      </c>
      <c r="M7" s="9">
        <v>9.8695313990392747E-2</v>
      </c>
      <c r="N7" s="9">
        <v>9.3325875801004057E-2</v>
      </c>
      <c r="O7" s="9">
        <v>0.12549796772853181</v>
      </c>
    </row>
    <row r="8" spans="1:15" x14ac:dyDescent="0.2">
      <c r="A8" s="1">
        <v>2016</v>
      </c>
      <c r="B8" s="9">
        <v>0.88700057894385365</v>
      </c>
      <c r="C8" s="9">
        <v>0.67360116973648143</v>
      </c>
      <c r="D8" s="9">
        <v>0.72864385368937845</v>
      </c>
      <c r="E8" s="9">
        <v>0.69909665194092119</v>
      </c>
      <c r="F8" s="9">
        <v>0.69388435734444909</v>
      </c>
      <c r="G8" s="9">
        <v>0.65715344157964872</v>
      </c>
      <c r="H8" s="9">
        <v>0.88700057894385365</v>
      </c>
      <c r="I8" s="9">
        <v>0.12549796772853181</v>
      </c>
      <c r="J8" s="9">
        <v>9.5995916979813259E-2</v>
      </c>
      <c r="K8" s="9">
        <v>0.10319544290925388</v>
      </c>
      <c r="L8" s="9">
        <v>9.947974997602535E-2</v>
      </c>
      <c r="M8" s="9">
        <v>9.8695313990392747E-2</v>
      </c>
      <c r="N8" s="9">
        <v>9.3325875801004057E-2</v>
      </c>
      <c r="O8" s="9">
        <v>0.12549796772853181</v>
      </c>
    </row>
    <row r="9" spans="1:15" x14ac:dyDescent="0.2">
      <c r="A9" s="1">
        <v>2017</v>
      </c>
      <c r="B9" s="9">
        <v>0.88700057894385365</v>
      </c>
      <c r="C9" s="9">
        <v>0.67360116973648143</v>
      </c>
      <c r="D9" s="9">
        <v>0.72864385368937845</v>
      </c>
      <c r="E9" s="9">
        <v>0.69909665194092119</v>
      </c>
      <c r="F9" s="9">
        <v>0.69388435734444909</v>
      </c>
      <c r="G9" s="9">
        <v>0.65715344157964872</v>
      </c>
      <c r="H9" s="9">
        <v>0.88700057894385365</v>
      </c>
      <c r="I9" s="9">
        <v>0.12549796772853181</v>
      </c>
      <c r="J9" s="9">
        <v>9.5995916979813259E-2</v>
      </c>
      <c r="K9" s="9">
        <v>0.10319544290925388</v>
      </c>
      <c r="L9" s="9">
        <v>9.947974997602535E-2</v>
      </c>
      <c r="M9" s="9">
        <v>9.8695313990392747E-2</v>
      </c>
      <c r="N9" s="9">
        <v>9.3325875801004057E-2</v>
      </c>
      <c r="O9" s="9">
        <v>0.12549796772853181</v>
      </c>
    </row>
    <row r="10" spans="1:15" x14ac:dyDescent="0.2">
      <c r="A10" s="1">
        <v>2018</v>
      </c>
      <c r="B10" s="9">
        <v>0.88700057894385365</v>
      </c>
      <c r="C10" s="9">
        <v>0.67360116973648143</v>
      </c>
      <c r="D10" s="9">
        <v>0.72864385368937845</v>
      </c>
      <c r="E10" s="9">
        <v>0.69909665194092119</v>
      </c>
      <c r="F10" s="9">
        <v>0.69388435734444909</v>
      </c>
      <c r="G10" s="9">
        <v>0.65715344157964872</v>
      </c>
      <c r="H10" s="9">
        <v>0.88700057894385365</v>
      </c>
      <c r="I10" s="9">
        <v>0.12549796772853181</v>
      </c>
      <c r="J10" s="9">
        <v>9.5995916979813259E-2</v>
      </c>
      <c r="K10" s="9">
        <v>0.10319544290925388</v>
      </c>
      <c r="L10" s="9">
        <v>9.947974997602535E-2</v>
      </c>
      <c r="M10" s="9">
        <v>9.8695313990392747E-2</v>
      </c>
      <c r="N10" s="9">
        <v>9.3325875801004057E-2</v>
      </c>
      <c r="O10" s="9">
        <v>0.12549796772853181</v>
      </c>
    </row>
    <row r="11" spans="1:15" x14ac:dyDescent="0.2">
      <c r="A11" s="1">
        <v>2019</v>
      </c>
      <c r="B11" s="9">
        <v>0.88700057894385365</v>
      </c>
      <c r="C11" s="9">
        <v>0.67360116973648143</v>
      </c>
      <c r="D11" s="9">
        <v>0.72864385368937845</v>
      </c>
      <c r="E11" s="9">
        <v>0.69909665194092119</v>
      </c>
      <c r="F11" s="9">
        <v>0.69388435734444909</v>
      </c>
      <c r="G11" s="9">
        <v>0.65715344157964872</v>
      </c>
      <c r="H11" s="9">
        <v>0.88700057894385365</v>
      </c>
      <c r="I11" s="9">
        <v>0.12549796772853181</v>
      </c>
      <c r="J11" s="9">
        <v>9.5995916979813259E-2</v>
      </c>
      <c r="K11" s="9">
        <v>0.10319544290925388</v>
      </c>
      <c r="L11" s="9">
        <v>9.947974997602535E-2</v>
      </c>
      <c r="M11" s="9">
        <v>9.8695313990392747E-2</v>
      </c>
      <c r="N11" s="9">
        <v>9.3325875801004057E-2</v>
      </c>
      <c r="O11" s="9">
        <v>0.12549796772853181</v>
      </c>
    </row>
    <row r="12" spans="1:15" x14ac:dyDescent="0.2">
      <c r="A12" s="1">
        <v>2020</v>
      </c>
      <c r="B12" s="9">
        <v>0.62717235560378604</v>
      </c>
      <c r="C12" s="9">
        <v>0.47628382933427194</v>
      </c>
      <c r="D12" s="9">
        <v>0.51520291301130572</v>
      </c>
      <c r="E12" s="9">
        <v>0.49431094454816749</v>
      </c>
      <c r="F12" s="9">
        <v>0.4906254823762457</v>
      </c>
      <c r="G12" s="9">
        <v>0.46465411830890357</v>
      </c>
      <c r="H12" s="9">
        <v>0.62717235560378604</v>
      </c>
      <c r="I12" s="9">
        <v>0.13593714661455555</v>
      </c>
      <c r="J12" s="9">
        <v>0.10398105465031218</v>
      </c>
      <c r="K12" s="9">
        <v>0.11177945194342755</v>
      </c>
      <c r="L12" s="9">
        <v>0.10775468003531545</v>
      </c>
      <c r="M12" s="9">
        <v>0.10690499305218171</v>
      </c>
      <c r="N12" s="9">
        <v>0.10108891395863331</v>
      </c>
      <c r="O12" s="9">
        <v>0.13593714661455555</v>
      </c>
    </row>
    <row r="13" spans="1:15" x14ac:dyDescent="0.2">
      <c r="A13" s="1">
        <v>2021</v>
      </c>
      <c r="B13" s="9">
        <v>0.62717235560378604</v>
      </c>
      <c r="C13" s="9">
        <v>0.47628382933427194</v>
      </c>
      <c r="D13" s="9">
        <v>0.51520291301130572</v>
      </c>
      <c r="E13" s="9">
        <v>0.49431094454816749</v>
      </c>
      <c r="F13" s="9">
        <v>0.4906254823762457</v>
      </c>
      <c r="G13" s="9">
        <v>0.46465411830890357</v>
      </c>
      <c r="H13" s="9">
        <v>0.62717235560378604</v>
      </c>
      <c r="I13" s="9">
        <v>0.13593714661455555</v>
      </c>
      <c r="J13" s="9">
        <v>0.10398105465031218</v>
      </c>
      <c r="K13" s="9">
        <v>0.11177945194342755</v>
      </c>
      <c r="L13" s="9">
        <v>0.10775468003531545</v>
      </c>
      <c r="M13" s="9">
        <v>0.10690499305218171</v>
      </c>
      <c r="N13" s="9">
        <v>0.10108891395863331</v>
      </c>
      <c r="O13" s="9">
        <v>0.13593714661455555</v>
      </c>
    </row>
    <row r="14" spans="1:15" x14ac:dyDescent="0.2">
      <c r="A14" s="1">
        <v>2022</v>
      </c>
      <c r="B14" s="9">
        <v>0.62717235560378604</v>
      </c>
      <c r="C14" s="9">
        <v>0.47628382933427194</v>
      </c>
      <c r="D14" s="9">
        <v>0.51520291301130572</v>
      </c>
      <c r="E14" s="9">
        <v>0.49431094454816749</v>
      </c>
      <c r="F14" s="9">
        <v>0.4906254823762457</v>
      </c>
      <c r="G14" s="9">
        <v>0.46465411830890357</v>
      </c>
      <c r="H14" s="9">
        <v>0.62717235560378604</v>
      </c>
      <c r="I14" s="9">
        <v>0.13593714661455555</v>
      </c>
      <c r="J14" s="9">
        <v>0.10398105465031218</v>
      </c>
      <c r="K14" s="9">
        <v>0.11177945194342755</v>
      </c>
      <c r="L14" s="9">
        <v>0.10775468003531545</v>
      </c>
      <c r="M14" s="9">
        <v>0.10690499305218171</v>
      </c>
      <c r="N14" s="9">
        <v>0.10108891395863331</v>
      </c>
      <c r="O14" s="9">
        <v>0.13593714661455555</v>
      </c>
    </row>
    <row r="15" spans="1:15" x14ac:dyDescent="0.2">
      <c r="A15" s="1">
        <v>2023</v>
      </c>
      <c r="B15" s="9">
        <v>0.62717235560378604</v>
      </c>
      <c r="C15" s="9">
        <v>0.47628382933427194</v>
      </c>
      <c r="D15" s="9">
        <v>0.51520291301130572</v>
      </c>
      <c r="E15" s="9">
        <v>0.49431094454816749</v>
      </c>
      <c r="F15" s="9">
        <v>0.4906254823762457</v>
      </c>
      <c r="G15" s="9">
        <v>0.46465411830890357</v>
      </c>
      <c r="H15" s="9">
        <v>0.62717235560378604</v>
      </c>
      <c r="I15" s="9">
        <v>0.13593714661455555</v>
      </c>
      <c r="J15" s="9">
        <v>0.10398105465031218</v>
      </c>
      <c r="K15" s="9">
        <v>0.11177945194342755</v>
      </c>
      <c r="L15" s="9">
        <v>0.10775468003531545</v>
      </c>
      <c r="M15" s="9">
        <v>0.10690499305218171</v>
      </c>
      <c r="N15" s="9">
        <v>0.10108891395863331</v>
      </c>
      <c r="O15" s="9">
        <v>0.13593714661455555</v>
      </c>
    </row>
    <row r="16" spans="1:15" x14ac:dyDescent="0.2">
      <c r="A16" s="1">
        <v>2024</v>
      </c>
      <c r="B16" s="9">
        <v>0.62717235560378604</v>
      </c>
      <c r="C16" s="9">
        <v>0.47628382933427194</v>
      </c>
      <c r="D16" s="9">
        <v>0.51520291301130572</v>
      </c>
      <c r="E16" s="9">
        <v>0.49431094454816749</v>
      </c>
      <c r="F16" s="9">
        <v>0.4906254823762457</v>
      </c>
      <c r="G16" s="9">
        <v>0.46465411830890357</v>
      </c>
      <c r="H16" s="9">
        <v>0.62717235560378604</v>
      </c>
      <c r="I16" s="9">
        <v>0.13593714661455555</v>
      </c>
      <c r="J16" s="9">
        <v>0.10398105465031218</v>
      </c>
      <c r="K16" s="9">
        <v>0.11177945194342755</v>
      </c>
      <c r="L16" s="9">
        <v>0.10775468003531545</v>
      </c>
      <c r="M16" s="9">
        <v>0.10690499305218171</v>
      </c>
      <c r="N16" s="9">
        <v>0.10108891395863331</v>
      </c>
      <c r="O16" s="9">
        <v>0.13593714661455555</v>
      </c>
    </row>
    <row r="17" spans="1:15" x14ac:dyDescent="0.2">
      <c r="A17" s="1">
        <v>2025</v>
      </c>
      <c r="B17" s="9">
        <v>0.5280543249340296</v>
      </c>
      <c r="C17" s="9">
        <v>0.40101215196894002</v>
      </c>
      <c r="D17" s="9">
        <v>0.43378048155888499</v>
      </c>
      <c r="E17" s="9">
        <v>0.4161902701843343</v>
      </c>
      <c r="F17" s="9">
        <v>0.41308725675927588</v>
      </c>
      <c r="G17" s="9">
        <v>0.39122039512601187</v>
      </c>
      <c r="H17" s="9">
        <v>0.5280543249340296</v>
      </c>
      <c r="I17" s="9">
        <v>0.11645066067731669</v>
      </c>
      <c r="J17" s="9">
        <v>8.9075450040794674E-2</v>
      </c>
      <c r="K17" s="9">
        <v>9.5755953049898188E-2</v>
      </c>
      <c r="L17" s="9">
        <v>9.2308129114737153E-2</v>
      </c>
      <c r="M17" s="9">
        <v>9.1580244110387315E-2</v>
      </c>
      <c r="N17" s="9">
        <v>8.6597895503971012E-2</v>
      </c>
      <c r="O17" s="9">
        <v>0.11645066067731669</v>
      </c>
    </row>
    <row r="18" spans="1:15" x14ac:dyDescent="0.2">
      <c r="A18" s="1">
        <v>2026</v>
      </c>
      <c r="B18" s="9">
        <v>0.5280543249340296</v>
      </c>
      <c r="C18" s="9">
        <v>0.40101215196894002</v>
      </c>
      <c r="D18" s="9">
        <v>0.43378048155888499</v>
      </c>
      <c r="E18" s="9">
        <v>0.4161902701843343</v>
      </c>
      <c r="F18" s="9">
        <v>0.41308725675927588</v>
      </c>
      <c r="G18" s="9">
        <v>0.39122039512601187</v>
      </c>
      <c r="H18" s="9">
        <v>0.5280543249340296</v>
      </c>
      <c r="I18" s="9">
        <v>0.11645066067731669</v>
      </c>
      <c r="J18" s="9">
        <v>8.9075450040794674E-2</v>
      </c>
      <c r="K18" s="9">
        <v>9.5755953049898188E-2</v>
      </c>
      <c r="L18" s="9">
        <v>9.2308129114737153E-2</v>
      </c>
      <c r="M18" s="9">
        <v>9.1580244110387315E-2</v>
      </c>
      <c r="N18" s="9">
        <v>8.6597895503971012E-2</v>
      </c>
      <c r="O18" s="9">
        <v>0.11645066067731669</v>
      </c>
    </row>
    <row r="19" spans="1:15" x14ac:dyDescent="0.2">
      <c r="A19" s="1">
        <v>2027</v>
      </c>
      <c r="B19" s="9">
        <v>0.5280543249340296</v>
      </c>
      <c r="C19" s="9">
        <v>0.40101215196894002</v>
      </c>
      <c r="D19" s="9">
        <v>0.43378048155888499</v>
      </c>
      <c r="E19" s="9">
        <v>0.4161902701843343</v>
      </c>
      <c r="F19" s="9">
        <v>0.41308725675927588</v>
      </c>
      <c r="G19" s="9">
        <v>0.39122039512601187</v>
      </c>
      <c r="H19" s="9">
        <v>0.5280543249340296</v>
      </c>
      <c r="I19" s="9">
        <v>0.11645066067731669</v>
      </c>
      <c r="J19" s="9">
        <v>8.9075450040794674E-2</v>
      </c>
      <c r="K19" s="9">
        <v>9.5755953049898188E-2</v>
      </c>
      <c r="L19" s="9">
        <v>9.2308129114737153E-2</v>
      </c>
      <c r="M19" s="9">
        <v>9.1580244110387315E-2</v>
      </c>
      <c r="N19" s="9">
        <v>8.6597895503971012E-2</v>
      </c>
      <c r="O19" s="9">
        <v>0.11645066067731669</v>
      </c>
    </row>
    <row r="20" spans="1:15" x14ac:dyDescent="0.2">
      <c r="A20" s="1">
        <v>2028</v>
      </c>
      <c r="B20" s="9">
        <v>0.5280543249340296</v>
      </c>
      <c r="C20" s="9">
        <v>0.40101215196894002</v>
      </c>
      <c r="D20" s="9">
        <v>0.43378048155888499</v>
      </c>
      <c r="E20" s="9">
        <v>0.4161902701843343</v>
      </c>
      <c r="F20" s="9">
        <v>0.41308725675927588</v>
      </c>
      <c r="G20" s="9">
        <v>0.39122039512601187</v>
      </c>
      <c r="H20" s="9">
        <v>0.5280543249340296</v>
      </c>
      <c r="I20" s="9">
        <v>0.11645066067731669</v>
      </c>
      <c r="J20" s="9">
        <v>8.9075450040794674E-2</v>
      </c>
      <c r="K20" s="9">
        <v>9.5755953049898188E-2</v>
      </c>
      <c r="L20" s="9">
        <v>9.2308129114737153E-2</v>
      </c>
      <c r="M20" s="9">
        <v>9.1580244110387315E-2</v>
      </c>
      <c r="N20" s="9">
        <v>8.6597895503971012E-2</v>
      </c>
      <c r="O20" s="9">
        <v>0.11645066067731669</v>
      </c>
    </row>
    <row r="21" spans="1:15" x14ac:dyDescent="0.2">
      <c r="A21" s="1">
        <v>2029</v>
      </c>
      <c r="B21" s="9">
        <v>0.5280543249340296</v>
      </c>
      <c r="C21" s="9">
        <v>0.40101215196894002</v>
      </c>
      <c r="D21" s="9">
        <v>0.43378048155888499</v>
      </c>
      <c r="E21" s="9">
        <v>0.4161902701843343</v>
      </c>
      <c r="F21" s="9">
        <v>0.41308725675927588</v>
      </c>
      <c r="G21" s="9">
        <v>0.39122039512601187</v>
      </c>
      <c r="H21" s="9">
        <v>0.5280543249340296</v>
      </c>
      <c r="I21" s="9">
        <v>0.11645066067731669</v>
      </c>
      <c r="J21" s="9">
        <v>8.9075450040794674E-2</v>
      </c>
      <c r="K21" s="9">
        <v>9.5755953049898188E-2</v>
      </c>
      <c r="L21" s="9">
        <v>9.2308129114737153E-2</v>
      </c>
      <c r="M21" s="9">
        <v>9.1580244110387315E-2</v>
      </c>
      <c r="N21" s="9">
        <v>8.6597895503971012E-2</v>
      </c>
      <c r="O21" s="9">
        <v>0.11645066067731669</v>
      </c>
    </row>
    <row r="22" spans="1:15" x14ac:dyDescent="0.2">
      <c r="A22" s="1">
        <v>2030</v>
      </c>
      <c r="B22" s="9">
        <v>0.45659086350444855</v>
      </c>
      <c r="C22" s="9">
        <v>0.3467417576139542</v>
      </c>
      <c r="D22" s="9">
        <v>0.37507543314050257</v>
      </c>
      <c r="E22" s="9">
        <v>0.35986576735140924</v>
      </c>
      <c r="F22" s="9">
        <v>0.3571826957197351</v>
      </c>
      <c r="G22" s="9">
        <v>0.33827515389340568</v>
      </c>
      <c r="H22" s="9">
        <v>0.45659086350444855</v>
      </c>
      <c r="I22" s="9">
        <v>9.4839603358035818E-2</v>
      </c>
      <c r="J22" s="9">
        <v>7.2544718094957605E-2</v>
      </c>
      <c r="K22" s="9">
        <v>7.7985445111278889E-2</v>
      </c>
      <c r="L22" s="9">
        <v>7.5177472596935677E-2</v>
      </c>
      <c r="M22" s="9">
        <v>7.4584669389969854E-2</v>
      </c>
      <c r="N22" s="9">
        <v>7.0526951186606957E-2</v>
      </c>
      <c r="O22" s="9">
        <v>9.4839603358035818E-2</v>
      </c>
    </row>
    <row r="23" spans="1:15" x14ac:dyDescent="0.2">
      <c r="A23" s="1">
        <v>2031</v>
      </c>
      <c r="B23" s="9">
        <v>0.45659086350444855</v>
      </c>
      <c r="C23" s="9">
        <v>0.3467417576139542</v>
      </c>
      <c r="D23" s="9">
        <v>0.37507543314050257</v>
      </c>
      <c r="E23" s="9">
        <v>0.35986576735140924</v>
      </c>
      <c r="F23" s="9">
        <v>0.3571826957197351</v>
      </c>
      <c r="G23" s="9">
        <v>0.33827515389340568</v>
      </c>
      <c r="H23" s="9">
        <v>0.45659086350444855</v>
      </c>
      <c r="I23" s="9">
        <v>9.4839603358035818E-2</v>
      </c>
      <c r="J23" s="9">
        <v>7.2544718094957605E-2</v>
      </c>
      <c r="K23" s="9">
        <v>7.7985445111278889E-2</v>
      </c>
      <c r="L23" s="9">
        <v>7.5177472596935677E-2</v>
      </c>
      <c r="M23" s="9">
        <v>7.4584669389969854E-2</v>
      </c>
      <c r="N23" s="9">
        <v>7.0526951186606957E-2</v>
      </c>
      <c r="O23" s="9">
        <v>9.4839603358035818E-2</v>
      </c>
    </row>
    <row r="24" spans="1:15" x14ac:dyDescent="0.2">
      <c r="A24" s="1">
        <v>2032</v>
      </c>
      <c r="B24" s="9">
        <v>0.45659086350444855</v>
      </c>
      <c r="C24" s="9">
        <v>0.3467417576139542</v>
      </c>
      <c r="D24" s="9">
        <v>0.37507543314050257</v>
      </c>
      <c r="E24" s="9">
        <v>0.35986576735140924</v>
      </c>
      <c r="F24" s="9">
        <v>0.3571826957197351</v>
      </c>
      <c r="G24" s="9">
        <v>0.33827515389340568</v>
      </c>
      <c r="H24" s="9">
        <v>0.45659086350444855</v>
      </c>
      <c r="I24" s="9">
        <v>9.4839603358035818E-2</v>
      </c>
      <c r="J24" s="9">
        <v>7.2544718094957605E-2</v>
      </c>
      <c r="K24" s="9">
        <v>7.7985445111278889E-2</v>
      </c>
      <c r="L24" s="9">
        <v>7.5177472596935677E-2</v>
      </c>
      <c r="M24" s="9">
        <v>7.4584669389969854E-2</v>
      </c>
      <c r="N24" s="9">
        <v>7.0526951186606957E-2</v>
      </c>
      <c r="O24" s="9">
        <v>9.4839603358035818E-2</v>
      </c>
    </row>
    <row r="25" spans="1:15" x14ac:dyDescent="0.2">
      <c r="A25" s="1">
        <v>2033</v>
      </c>
      <c r="B25" s="9">
        <v>0.45659086350444855</v>
      </c>
      <c r="C25" s="9">
        <v>0.3467417576139542</v>
      </c>
      <c r="D25" s="9">
        <v>0.37507543314050257</v>
      </c>
      <c r="E25" s="9">
        <v>0.35986576735140924</v>
      </c>
      <c r="F25" s="9">
        <v>0.3571826957197351</v>
      </c>
      <c r="G25" s="9">
        <v>0.33827515389340568</v>
      </c>
      <c r="H25" s="9">
        <v>0.45659086350444855</v>
      </c>
      <c r="I25" s="9">
        <v>9.4839603358035818E-2</v>
      </c>
      <c r="J25" s="9">
        <v>7.2544718094957605E-2</v>
      </c>
      <c r="K25" s="9">
        <v>7.7985445111278889E-2</v>
      </c>
      <c r="L25" s="9">
        <v>7.5177472596935677E-2</v>
      </c>
      <c r="M25" s="9">
        <v>7.4584669389969854E-2</v>
      </c>
      <c r="N25" s="9">
        <v>7.0526951186606957E-2</v>
      </c>
      <c r="O25" s="9">
        <v>9.4839603358035818E-2</v>
      </c>
    </row>
    <row r="26" spans="1:15" x14ac:dyDescent="0.2">
      <c r="A26" s="1">
        <v>2034</v>
      </c>
      <c r="B26" s="9">
        <v>0.45659086350444855</v>
      </c>
      <c r="C26" s="9">
        <v>0.3467417576139542</v>
      </c>
      <c r="D26" s="9">
        <v>0.37507543314050257</v>
      </c>
      <c r="E26" s="9">
        <v>0.35986576735140924</v>
      </c>
      <c r="F26" s="9">
        <v>0.3571826957197351</v>
      </c>
      <c r="G26" s="9">
        <v>0.33827515389340568</v>
      </c>
      <c r="H26" s="9">
        <v>0.45659086350444855</v>
      </c>
      <c r="I26" s="9">
        <v>9.4839603358035818E-2</v>
      </c>
      <c r="J26" s="9">
        <v>7.2544718094957605E-2</v>
      </c>
      <c r="K26" s="9">
        <v>7.7985445111278889E-2</v>
      </c>
      <c r="L26" s="9">
        <v>7.5177472596935677E-2</v>
      </c>
      <c r="M26" s="9">
        <v>7.4584669389969854E-2</v>
      </c>
      <c r="N26" s="9">
        <v>7.0526951186606957E-2</v>
      </c>
      <c r="O26" s="9">
        <v>9.4839603358035818E-2</v>
      </c>
    </row>
    <row r="27" spans="1:15" x14ac:dyDescent="0.2">
      <c r="A27" s="1">
        <v>2035</v>
      </c>
      <c r="B27" s="9">
        <v>0.36797315558167837</v>
      </c>
      <c r="C27" s="9">
        <v>0.27944417840919211</v>
      </c>
      <c r="D27" s="9">
        <v>0.30227869575522259</v>
      </c>
      <c r="E27" s="9">
        <v>0.2900210069508542</v>
      </c>
      <c r="F27" s="9">
        <v>0.28785868086447342</v>
      </c>
      <c r="G27" s="9">
        <v>0.2726208204817081</v>
      </c>
      <c r="H27" s="9">
        <v>0.36797315558167837</v>
      </c>
      <c r="I27" s="9">
        <v>7.6354044446393876E-2</v>
      </c>
      <c r="J27" s="9">
        <v>5.8404742677618714E-2</v>
      </c>
      <c r="K27" s="9">
        <v>6.2784996260677309E-2</v>
      </c>
      <c r="L27" s="9">
        <v>6.052433667783387E-2</v>
      </c>
      <c r="M27" s="9">
        <v>6.0047079068038127E-2</v>
      </c>
      <c r="N27" s="9">
        <v>5.6780266628082249E-2</v>
      </c>
      <c r="O27" s="9">
        <v>7.6354044446393876E-2</v>
      </c>
    </row>
    <row r="28" spans="1:15" x14ac:dyDescent="0.2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2:15" x14ac:dyDescent="0.2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2:15" x14ac:dyDescent="0.2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2:15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2:15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2:15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2:15" x14ac:dyDescent="0.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2:15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2:15" x14ac:dyDescent="0.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2:15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2:15" x14ac:dyDescent="0.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987F-4575-2143-9717-E6513E42AF53}">
  <sheetPr codeName="Sheet69"/>
  <dimension ref="A1:O8"/>
  <sheetViews>
    <sheetView zoomScaleNormal="100" workbookViewId="0"/>
  </sheetViews>
  <sheetFormatPr baseColWidth="10" defaultRowHeight="16" x14ac:dyDescent="0.2"/>
  <cols>
    <col min="1" max="1" width="13.5" style="4" bestFit="1" customWidth="1"/>
    <col min="2" max="2" width="14.1640625" style="4" bestFit="1" customWidth="1"/>
    <col min="3" max="3" width="10" style="4" bestFit="1" customWidth="1"/>
    <col min="4" max="5" width="14.1640625" style="4" bestFit="1" customWidth="1"/>
    <col min="6" max="6" width="10.83203125" style="4" customWidth="1"/>
    <col min="7" max="7" width="14.1640625" style="4" bestFit="1" customWidth="1"/>
    <col min="8" max="8" width="9.6640625" style="4" bestFit="1" customWidth="1"/>
    <col min="9" max="9" width="15.5" style="4" bestFit="1" customWidth="1"/>
    <col min="10" max="10" width="11.33203125" style="4" bestFit="1" customWidth="1"/>
    <col min="11" max="12" width="15.5" style="4" bestFit="1" customWidth="1"/>
    <col min="13" max="13" width="12.1640625" style="4" bestFit="1" customWidth="1"/>
    <col min="14" max="14" width="15.5" style="4" bestFit="1" customWidth="1"/>
    <col min="15" max="15" width="11" style="4" bestFit="1" customWidth="1"/>
    <col min="16" max="16384" width="10.83203125" style="4"/>
  </cols>
  <sheetData>
    <row r="1" spans="1:15" s="15" customFormat="1" x14ac:dyDescent="0.2">
      <c r="A1" s="15" t="s">
        <v>24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43</v>
      </c>
      <c r="I1" s="15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45</v>
      </c>
    </row>
    <row r="2" spans="1:15" x14ac:dyDescent="0.2">
      <c r="A2" s="4" t="s">
        <v>10</v>
      </c>
      <c r="B2" s="10">
        <v>0.27069166666666666</v>
      </c>
      <c r="C2" s="10">
        <v>0.2708666666666667</v>
      </c>
      <c r="D2" s="10">
        <v>0.25605000000000006</v>
      </c>
      <c r="E2" s="10">
        <v>0.24137499999999998</v>
      </c>
      <c r="F2" s="10">
        <v>0.24990833333333332</v>
      </c>
      <c r="G2" s="10">
        <v>0.25912499999999999</v>
      </c>
      <c r="H2" s="10">
        <v>0.38711316000000001</v>
      </c>
      <c r="I2" s="10">
        <v>0.2680833333333334</v>
      </c>
      <c r="J2" s="10">
        <v>0.26866666666666666</v>
      </c>
      <c r="K2" s="10">
        <v>0.25231666666666669</v>
      </c>
      <c r="L2" s="10">
        <v>0.2383166666666667</v>
      </c>
      <c r="M2" s="10">
        <v>0.24593333333333334</v>
      </c>
      <c r="N2" s="10">
        <v>0.25541666666666663</v>
      </c>
      <c r="O2" s="10">
        <v>0.38711316000000001</v>
      </c>
    </row>
    <row r="3" spans="1:15" x14ac:dyDescent="0.2">
      <c r="A3" s="4" t="s">
        <v>86</v>
      </c>
      <c r="B3" s="10">
        <v>0.15309166666666668</v>
      </c>
      <c r="C3" s="10">
        <v>0.13975833333333332</v>
      </c>
      <c r="D3" s="10">
        <v>0.16094166666666668</v>
      </c>
      <c r="E3" s="10">
        <v>0.16930833333333331</v>
      </c>
      <c r="F3" s="10">
        <v>0.16604166666666667</v>
      </c>
      <c r="G3" s="10">
        <v>0.15969166666666668</v>
      </c>
      <c r="H3" s="10"/>
      <c r="I3" s="10">
        <v>0.1507</v>
      </c>
      <c r="J3" s="10">
        <v>0.13795000000000002</v>
      </c>
      <c r="K3" s="10">
        <v>0.15764999999999998</v>
      </c>
      <c r="L3" s="10">
        <v>0.16613333333333333</v>
      </c>
      <c r="M3" s="10">
        <v>0.16235000000000002</v>
      </c>
      <c r="N3" s="10">
        <v>0.15646666666666667</v>
      </c>
      <c r="O3" s="10"/>
    </row>
    <row r="4" spans="1:15" x14ac:dyDescent="0.2">
      <c r="A4" s="4" t="s">
        <v>84</v>
      </c>
      <c r="B4" s="10"/>
      <c r="C4" s="10"/>
      <c r="D4" s="10"/>
      <c r="E4" s="10"/>
      <c r="F4" s="10"/>
      <c r="G4" s="10"/>
      <c r="H4" s="10">
        <v>0.20391293999999999</v>
      </c>
      <c r="I4" s="10"/>
      <c r="J4" s="10"/>
      <c r="K4" s="10"/>
      <c r="L4" s="10"/>
      <c r="M4" s="10"/>
      <c r="N4" s="10"/>
      <c r="O4" s="10">
        <v>0.20391293999999999</v>
      </c>
    </row>
    <row r="5" spans="1:15" x14ac:dyDescent="0.2">
      <c r="A5" s="4" t="s">
        <v>76</v>
      </c>
      <c r="B5" s="10">
        <v>6.6658333333333333E-2</v>
      </c>
      <c r="C5" s="10">
        <v>7.6716666666666655E-2</v>
      </c>
      <c r="D5" s="10">
        <v>6.6199999999999995E-2</v>
      </c>
      <c r="E5" s="10">
        <v>6.5833333333333327E-2</v>
      </c>
      <c r="F5" s="10">
        <v>6.5516666666666654E-2</v>
      </c>
      <c r="G5" s="10">
        <v>6.6349999999999992E-2</v>
      </c>
      <c r="H5" s="10"/>
      <c r="I5" s="10">
        <v>6.5549999999999983E-2</v>
      </c>
      <c r="J5" s="10">
        <v>7.4333333333333335E-2</v>
      </c>
      <c r="K5" s="10">
        <v>6.5033333333333332E-2</v>
      </c>
      <c r="L5" s="10">
        <v>6.5166666666666664E-2</v>
      </c>
      <c r="M5" s="10">
        <v>6.4500000000000002E-2</v>
      </c>
      <c r="N5" s="10">
        <v>6.5166666666666664E-2</v>
      </c>
      <c r="O5" s="10"/>
    </row>
    <row r="6" spans="1:15" x14ac:dyDescent="0.2">
      <c r="A6" s="4" t="s">
        <v>77</v>
      </c>
      <c r="B6" s="10"/>
      <c r="C6" s="10"/>
      <c r="D6" s="10"/>
      <c r="E6" s="10"/>
      <c r="F6" s="10"/>
      <c r="G6" s="10"/>
      <c r="H6" s="10">
        <v>0.11813080000000001</v>
      </c>
      <c r="I6" s="10"/>
      <c r="J6" s="10"/>
      <c r="K6" s="10"/>
      <c r="L6" s="10"/>
      <c r="M6" s="10"/>
      <c r="N6" s="10"/>
      <c r="O6" s="10">
        <v>0.11813080000000001</v>
      </c>
    </row>
    <row r="7" spans="1:15" x14ac:dyDescent="0.2">
      <c r="A7" s="4" t="s">
        <v>44</v>
      </c>
      <c r="B7" s="10">
        <v>1.7049999999999999E-2</v>
      </c>
      <c r="C7" s="10">
        <v>1.9716666666666664E-2</v>
      </c>
      <c r="D7" s="10">
        <v>1.6825000000000003E-2</v>
      </c>
      <c r="E7" s="10">
        <v>1.6591666666666668E-2</v>
      </c>
      <c r="F7" s="10">
        <v>1.6550000000000006E-2</v>
      </c>
      <c r="G7" s="10">
        <v>1.6875000000000001E-2</v>
      </c>
      <c r="H7" s="10">
        <v>0.251</v>
      </c>
      <c r="I7" s="10">
        <v>1.5433333333333332E-2</v>
      </c>
      <c r="J7" s="10">
        <v>1.7100000000000001E-2</v>
      </c>
      <c r="K7" s="10">
        <v>1.5333333333333332E-2</v>
      </c>
      <c r="L7" s="10">
        <v>1.5366666666666667E-2</v>
      </c>
      <c r="M7" s="10">
        <v>1.52E-2</v>
      </c>
      <c r="N7" s="10">
        <v>1.5333333333333332E-2</v>
      </c>
      <c r="O7" s="10">
        <v>0.251</v>
      </c>
    </row>
    <row r="8" spans="1:15" x14ac:dyDescent="0.2">
      <c r="A8" s="4" t="s">
        <v>11</v>
      </c>
      <c r="B8" s="10">
        <v>8.6416666666666673E-3</v>
      </c>
      <c r="C8" s="10">
        <v>8.3833333333333329E-3</v>
      </c>
      <c r="D8" s="10">
        <v>8.5083333333333348E-3</v>
      </c>
      <c r="E8" s="10">
        <v>8.3833333333333329E-3</v>
      </c>
      <c r="F8" s="10">
        <v>8.4833333333333323E-3</v>
      </c>
      <c r="G8" s="10">
        <v>8.5500000000000003E-3</v>
      </c>
      <c r="H8" s="10">
        <v>2.1661360000000001E-2</v>
      </c>
      <c r="I8" s="10">
        <v>8.5500000000000003E-3</v>
      </c>
      <c r="J8" s="10">
        <v>8.3000000000000001E-3</v>
      </c>
      <c r="K8" s="10">
        <v>8.3666666666666663E-3</v>
      </c>
      <c r="L8" s="10">
        <v>8.2500000000000004E-3</v>
      </c>
      <c r="M8" s="10">
        <v>8.3333333333333332E-3</v>
      </c>
      <c r="N8" s="10">
        <v>8.3999999999999995E-3</v>
      </c>
      <c r="O8" s="10">
        <v>2.1661360000000001E-2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5D6D-346C-254F-A0E7-B00510D0C4FB}">
  <sheetPr codeName="Sheet78"/>
  <dimension ref="A1:J8"/>
  <sheetViews>
    <sheetView zoomScaleNormal="100" workbookViewId="0"/>
  </sheetViews>
  <sheetFormatPr baseColWidth="10" defaultRowHeight="16" x14ac:dyDescent="0.2"/>
  <cols>
    <col min="1" max="1" width="29.1640625" style="4" bestFit="1" customWidth="1"/>
    <col min="2" max="16384" width="10.83203125" style="4"/>
  </cols>
  <sheetData>
    <row r="1" spans="1:10" s="18" customFormat="1" ht="17" x14ac:dyDescent="0.2">
      <c r="A1" s="18" t="s">
        <v>24</v>
      </c>
      <c r="B1" s="18" t="s">
        <v>7</v>
      </c>
      <c r="C1" s="18" t="s">
        <v>9</v>
      </c>
      <c r="D1" s="18" t="s">
        <v>5</v>
      </c>
      <c r="E1" s="18" t="s">
        <v>4</v>
      </c>
      <c r="F1" s="18" t="s">
        <v>8</v>
      </c>
      <c r="G1" s="18" t="s">
        <v>6</v>
      </c>
      <c r="H1" s="18" t="s">
        <v>46</v>
      </c>
      <c r="I1" s="18" t="s">
        <v>6</v>
      </c>
      <c r="J1" s="18" t="s">
        <v>3</v>
      </c>
    </row>
    <row r="2" spans="1:10" x14ac:dyDescent="0.2">
      <c r="A2" s="4" t="s">
        <v>34</v>
      </c>
      <c r="B2" s="10"/>
      <c r="C2" s="10">
        <v>0.53476397816020504</v>
      </c>
      <c r="D2" s="10">
        <v>0.82074308159925957</v>
      </c>
      <c r="E2" s="10">
        <v>0.9579275338395502</v>
      </c>
      <c r="F2" s="10">
        <v>1.2726282136946316</v>
      </c>
      <c r="G2" s="10"/>
      <c r="H2" s="10">
        <v>0.31772389618775931</v>
      </c>
      <c r="I2" s="10"/>
      <c r="J2" s="10">
        <v>1.292</v>
      </c>
    </row>
    <row r="3" spans="1:10" x14ac:dyDescent="0.2">
      <c r="A3" s="4" t="s">
        <v>31</v>
      </c>
      <c r="B3" s="10"/>
      <c r="C3" s="10">
        <v>0.53559333748012983</v>
      </c>
      <c r="D3" s="10">
        <v>0.33090327564736288</v>
      </c>
      <c r="E3" s="10">
        <v>0.31980439088808243</v>
      </c>
      <c r="F3" s="10">
        <v>0.15932523977425786</v>
      </c>
      <c r="G3" s="10"/>
      <c r="H3" s="10">
        <v>0.36326051432827866</v>
      </c>
      <c r="I3" s="10"/>
      <c r="J3" s="10">
        <v>0.247</v>
      </c>
    </row>
    <row r="4" spans="1:10" x14ac:dyDescent="0.2">
      <c r="A4" s="4" t="s">
        <v>33</v>
      </c>
      <c r="B4" s="10"/>
      <c r="C4" s="10">
        <v>0.52180523878637131</v>
      </c>
      <c r="D4" s="10">
        <v>0.46723360803688374</v>
      </c>
      <c r="E4" s="10">
        <v>0.31157147573456606</v>
      </c>
      <c r="F4" s="10">
        <v>0.15522363511138113</v>
      </c>
      <c r="G4" s="10"/>
      <c r="H4" s="10">
        <v>0.92862615298926754</v>
      </c>
      <c r="I4" s="10"/>
      <c r="J4" s="10"/>
    </row>
    <row r="5" spans="1:10" x14ac:dyDescent="0.2">
      <c r="A5" s="4" t="s">
        <v>83</v>
      </c>
      <c r="B5" s="10"/>
      <c r="C5" s="10"/>
      <c r="D5" s="10"/>
      <c r="E5" s="10"/>
      <c r="F5" s="10">
        <v>0.246199076881958</v>
      </c>
      <c r="G5" s="10">
        <v>0.26837560122177961</v>
      </c>
      <c r="H5" s="10"/>
      <c r="I5" s="10"/>
      <c r="J5" s="10">
        <v>0.25</v>
      </c>
    </row>
    <row r="6" spans="1:10" x14ac:dyDescent="0.2">
      <c r="A6" s="4" t="s">
        <v>32</v>
      </c>
      <c r="B6" s="10">
        <v>0.20433868871498501</v>
      </c>
      <c r="C6" s="10">
        <v>0.38300850093302902</v>
      </c>
      <c r="D6" s="10">
        <v>0.38106092642826939</v>
      </c>
      <c r="E6" s="10">
        <v>0.38115921096071298</v>
      </c>
      <c r="F6" s="10"/>
      <c r="G6" s="10"/>
      <c r="H6" s="10">
        <v>0.51952982991918095</v>
      </c>
      <c r="I6" s="10">
        <v>0.23419160622120438</v>
      </c>
      <c r="J6" s="10"/>
    </row>
    <row r="7" spans="1:10" x14ac:dyDescent="0.2">
      <c r="A7" s="4" t="s">
        <v>25</v>
      </c>
      <c r="B7" s="10"/>
      <c r="C7" s="10"/>
      <c r="D7" s="10"/>
      <c r="E7" s="10"/>
      <c r="F7" s="10"/>
      <c r="G7" s="10"/>
      <c r="H7" s="10"/>
      <c r="I7" s="10"/>
      <c r="J7" s="10">
        <v>3.9329999999999997E-2</v>
      </c>
    </row>
    <row r="8" spans="1:10" x14ac:dyDescent="0.2">
      <c r="A8" s="4" t="s">
        <v>27</v>
      </c>
      <c r="B8" s="10"/>
      <c r="C8" s="10"/>
      <c r="D8" s="10"/>
      <c r="E8" s="10"/>
      <c r="F8" s="10"/>
      <c r="G8" s="10"/>
      <c r="H8" s="10"/>
      <c r="I8" s="10"/>
      <c r="J8" s="10">
        <v>8.5499999999999993E-2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D921-BC93-8F49-82DE-EB1BC72625B3}">
  <sheetPr codeName="Sheet72"/>
  <dimension ref="A1:H9"/>
  <sheetViews>
    <sheetView zoomScaleNormal="100" workbookViewId="0"/>
  </sheetViews>
  <sheetFormatPr baseColWidth="10" defaultRowHeight="16" x14ac:dyDescent="0.2"/>
  <cols>
    <col min="1" max="1" width="15.83203125" style="1" bestFit="1" customWidth="1"/>
    <col min="2" max="2" width="17.5" style="1" bestFit="1" customWidth="1"/>
    <col min="3" max="3" width="17.33203125" style="1" bestFit="1" customWidth="1"/>
    <col min="4" max="4" width="12.6640625" style="1" bestFit="1" customWidth="1"/>
    <col min="5" max="5" width="13.1640625" style="1" bestFit="1" customWidth="1"/>
    <col min="6" max="6" width="17.1640625" style="1" bestFit="1" customWidth="1"/>
    <col min="7" max="7" width="19.83203125" style="1" bestFit="1" customWidth="1"/>
    <col min="8" max="8" width="14.1640625" style="1" bestFit="1" customWidth="1"/>
    <col min="9" max="16384" width="10.83203125" style="1"/>
  </cols>
  <sheetData>
    <row r="1" spans="1:8" s="17" customFormat="1" x14ac:dyDescent="0.2">
      <c r="A1" s="16" t="s">
        <v>28</v>
      </c>
      <c r="B1" s="16" t="s">
        <v>38</v>
      </c>
      <c r="C1" s="16" t="s">
        <v>37</v>
      </c>
      <c r="D1" s="16" t="s">
        <v>36</v>
      </c>
      <c r="E1" s="16" t="s">
        <v>41</v>
      </c>
      <c r="F1" s="16" t="s">
        <v>47</v>
      </c>
      <c r="G1" s="16" t="s">
        <v>78</v>
      </c>
      <c r="H1" s="16" t="s">
        <v>85</v>
      </c>
    </row>
    <row r="2" spans="1:8" x14ac:dyDescent="0.2">
      <c r="A2" s="1" t="s">
        <v>26</v>
      </c>
      <c r="G2" s="1">
        <v>1.26</v>
      </c>
    </row>
    <row r="3" spans="1:8" x14ac:dyDescent="0.2">
      <c r="A3" s="1" t="s">
        <v>30</v>
      </c>
      <c r="E3" s="9">
        <v>31.146617878741694</v>
      </c>
    </row>
    <row r="4" spans="1:8" x14ac:dyDescent="0.2">
      <c r="A4" s="1" t="s">
        <v>40</v>
      </c>
      <c r="H4" s="1">
        <v>3</v>
      </c>
    </row>
    <row r="5" spans="1:8" x14ac:dyDescent="0.2">
      <c r="A5" s="1" t="s">
        <v>39</v>
      </c>
      <c r="H5" s="1">
        <v>1</v>
      </c>
    </row>
    <row r="6" spans="1:8" x14ac:dyDescent="0.2">
      <c r="A6" s="1" t="s">
        <v>80</v>
      </c>
      <c r="B6" s="1">
        <f>0.88/0.16</f>
        <v>5.5</v>
      </c>
      <c r="C6" s="1">
        <f>1/0.16</f>
        <v>6.25</v>
      </c>
    </row>
    <row r="7" spans="1:8" x14ac:dyDescent="0.2">
      <c r="A7" s="1" t="s">
        <v>81</v>
      </c>
      <c r="C7" s="9">
        <f>1/0.6</f>
        <v>1.6666666666666667</v>
      </c>
    </row>
    <row r="8" spans="1:8" x14ac:dyDescent="0.2">
      <c r="A8" s="1" t="s">
        <v>79</v>
      </c>
      <c r="F8" s="9">
        <f>0.325/0.3</f>
        <v>1.0833333333333335</v>
      </c>
    </row>
    <row r="9" spans="1:8" x14ac:dyDescent="0.2">
      <c r="A9" s="1" t="s">
        <v>29</v>
      </c>
      <c r="D9" s="9">
        <v>14.889142567224757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1738-A1DC-DC4E-B250-0B131C2190D6}">
  <sheetPr codeName="Sheet34"/>
  <dimension ref="A1:O42"/>
  <sheetViews>
    <sheetView zoomScaleNormal="100" workbookViewId="0"/>
  </sheetViews>
  <sheetFormatPr baseColWidth="10" defaultRowHeight="16" x14ac:dyDescent="0.2"/>
  <cols>
    <col min="1" max="1" width="10.83203125" style="1"/>
    <col min="2" max="2" width="23.1640625" style="1" bestFit="1" customWidth="1"/>
    <col min="3" max="3" width="24" style="1" bestFit="1" customWidth="1"/>
    <col min="4" max="7" width="27.5" style="1" bestFit="1" customWidth="1"/>
    <col min="8" max="8" width="22.83203125" style="1" bestFit="1" customWidth="1"/>
    <col min="9" max="9" width="24.5" style="1" bestFit="1" customWidth="1"/>
    <col min="10" max="10" width="25.33203125" style="1" bestFit="1" customWidth="1"/>
    <col min="11" max="14" width="28.83203125" style="1" bestFit="1" customWidth="1"/>
    <col min="15" max="15" width="24.1640625" style="1" bestFit="1" customWidth="1"/>
    <col min="16" max="16384" width="10.83203125" style="1"/>
  </cols>
  <sheetData>
    <row r="1" spans="1:15" s="16" customFormat="1" x14ac:dyDescent="0.2">
      <c r="A1" s="16" t="s">
        <v>0</v>
      </c>
      <c r="B1" s="16" t="s">
        <v>62</v>
      </c>
      <c r="C1" s="16" t="s">
        <v>63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68</v>
      </c>
      <c r="I1" s="16" t="s">
        <v>69</v>
      </c>
      <c r="J1" s="16" t="s">
        <v>70</v>
      </c>
      <c r="K1" s="16" t="s">
        <v>71</v>
      </c>
      <c r="L1" s="16" t="s">
        <v>72</v>
      </c>
      <c r="M1" s="16" t="s">
        <v>73</v>
      </c>
      <c r="N1" s="16" t="s">
        <v>74</v>
      </c>
      <c r="O1" s="16" t="s">
        <v>75</v>
      </c>
    </row>
    <row r="2" spans="1:15" x14ac:dyDescent="0.2">
      <c r="A2" s="1">
        <v>2010</v>
      </c>
      <c r="B2" s="11">
        <v>107.4516715384615</v>
      </c>
      <c r="C2" s="11">
        <v>141.49276923076917</v>
      </c>
      <c r="D2" s="11">
        <v>130.80422538461534</v>
      </c>
      <c r="E2" s="11">
        <v>136.33264384615379</v>
      </c>
      <c r="F2" s="11">
        <v>137.35674230769226</v>
      </c>
      <c r="G2" s="11">
        <v>145.03415615384608</v>
      </c>
      <c r="H2" s="11">
        <v>107.4516715384615</v>
      </c>
      <c r="I2" s="11">
        <v>106.17821076923073</v>
      </c>
      <c r="J2" s="11">
        <v>138.8095461538461</v>
      </c>
      <c r="K2" s="11">
        <v>129.12536923076917</v>
      </c>
      <c r="L2" s="11">
        <v>133.94836307692302</v>
      </c>
      <c r="M2" s="11">
        <v>135.01299230769226</v>
      </c>
      <c r="N2" s="11">
        <v>142.78086923076918</v>
      </c>
      <c r="O2" s="11">
        <v>106.17821076923073</v>
      </c>
    </row>
    <row r="3" spans="1:15" x14ac:dyDescent="0.2">
      <c r="A3" s="1">
        <v>2011</v>
      </c>
      <c r="B3" s="11">
        <v>107.4516715384615</v>
      </c>
      <c r="C3" s="11">
        <v>141.49276923076917</v>
      </c>
      <c r="D3" s="11">
        <v>130.80422538461534</v>
      </c>
      <c r="E3" s="11">
        <v>136.33264384615379</v>
      </c>
      <c r="F3" s="11">
        <v>137.35674230769226</v>
      </c>
      <c r="G3" s="11">
        <v>145.03415615384608</v>
      </c>
      <c r="H3" s="11">
        <v>107.4516715384615</v>
      </c>
      <c r="I3" s="11">
        <v>106.17821076923073</v>
      </c>
      <c r="J3" s="11">
        <v>138.8095461538461</v>
      </c>
      <c r="K3" s="11">
        <v>129.12536923076917</v>
      </c>
      <c r="L3" s="11">
        <v>133.94836307692302</v>
      </c>
      <c r="M3" s="11">
        <v>135.01299230769226</v>
      </c>
      <c r="N3" s="11">
        <v>142.78086923076918</v>
      </c>
      <c r="O3" s="11">
        <v>106.17821076923073</v>
      </c>
    </row>
    <row r="4" spans="1:15" x14ac:dyDescent="0.2">
      <c r="A4" s="1">
        <v>2012</v>
      </c>
      <c r="B4" s="11">
        <v>107.4516715384615</v>
      </c>
      <c r="C4" s="11">
        <v>141.49276923076917</v>
      </c>
      <c r="D4" s="11">
        <v>130.80422538461534</v>
      </c>
      <c r="E4" s="11">
        <v>136.33264384615379</v>
      </c>
      <c r="F4" s="11">
        <v>137.35674230769226</v>
      </c>
      <c r="G4" s="11">
        <v>145.03415615384608</v>
      </c>
      <c r="H4" s="11">
        <v>107.4516715384615</v>
      </c>
      <c r="I4" s="11">
        <v>106.17821076923073</v>
      </c>
      <c r="J4" s="11">
        <v>138.8095461538461</v>
      </c>
      <c r="K4" s="11">
        <v>129.12536923076917</v>
      </c>
      <c r="L4" s="11">
        <v>133.94836307692302</v>
      </c>
      <c r="M4" s="11">
        <v>135.01299230769226</v>
      </c>
      <c r="N4" s="11">
        <v>142.78086923076918</v>
      </c>
      <c r="O4" s="11">
        <v>106.17821076923073</v>
      </c>
    </row>
    <row r="5" spans="1:15" x14ac:dyDescent="0.2">
      <c r="A5" s="1">
        <v>2013</v>
      </c>
      <c r="B5" s="11">
        <v>107.4516715384615</v>
      </c>
      <c r="C5" s="11">
        <v>141.49276923076917</v>
      </c>
      <c r="D5" s="11">
        <v>130.80422538461534</v>
      </c>
      <c r="E5" s="11">
        <v>136.33264384615379</v>
      </c>
      <c r="F5" s="11">
        <v>137.35674230769226</v>
      </c>
      <c r="G5" s="11">
        <v>145.03415615384608</v>
      </c>
      <c r="H5" s="11">
        <v>107.4516715384615</v>
      </c>
      <c r="I5" s="11">
        <v>106.17821076923073</v>
      </c>
      <c r="J5" s="11">
        <v>138.8095461538461</v>
      </c>
      <c r="K5" s="11">
        <v>129.12536923076917</v>
      </c>
      <c r="L5" s="11">
        <v>133.94836307692302</v>
      </c>
      <c r="M5" s="11">
        <v>135.01299230769226</v>
      </c>
      <c r="N5" s="11">
        <v>142.78086923076918</v>
      </c>
      <c r="O5" s="11">
        <v>106.17821076923073</v>
      </c>
    </row>
    <row r="6" spans="1:15" x14ac:dyDescent="0.2">
      <c r="A6" s="1">
        <v>2014</v>
      </c>
      <c r="B6" s="11">
        <v>107.4516715384615</v>
      </c>
      <c r="C6" s="11">
        <v>141.49276923076917</v>
      </c>
      <c r="D6" s="11">
        <v>130.80422538461534</v>
      </c>
      <c r="E6" s="11">
        <v>136.33264384615379</v>
      </c>
      <c r="F6" s="11">
        <v>137.35674230769226</v>
      </c>
      <c r="G6" s="11">
        <v>145.03415615384608</v>
      </c>
      <c r="H6" s="11">
        <v>107.4516715384615</v>
      </c>
      <c r="I6" s="11">
        <v>106.17821076923073</v>
      </c>
      <c r="J6" s="11">
        <v>138.8095461538461</v>
      </c>
      <c r="K6" s="11">
        <v>129.12536923076917</v>
      </c>
      <c r="L6" s="11">
        <v>133.94836307692302</v>
      </c>
      <c r="M6" s="11">
        <v>135.01299230769226</v>
      </c>
      <c r="N6" s="11">
        <v>142.78086923076918</v>
      </c>
      <c r="O6" s="11">
        <v>106.17821076923073</v>
      </c>
    </row>
    <row r="7" spans="1:15" x14ac:dyDescent="0.2">
      <c r="A7" s="1">
        <v>2015</v>
      </c>
      <c r="B7" s="11">
        <v>107.4516715384615</v>
      </c>
      <c r="C7" s="11">
        <v>141.49276923076917</v>
      </c>
      <c r="D7" s="11">
        <v>130.80422538461534</v>
      </c>
      <c r="E7" s="11">
        <v>136.33264384615379</v>
      </c>
      <c r="F7" s="11">
        <v>137.35674230769226</v>
      </c>
      <c r="G7" s="11">
        <v>145.03415615384608</v>
      </c>
      <c r="H7" s="11">
        <v>107.4516715384615</v>
      </c>
      <c r="I7" s="11">
        <v>106.17821076923073</v>
      </c>
      <c r="J7" s="11">
        <v>138.8095461538461</v>
      </c>
      <c r="K7" s="11">
        <v>129.12536923076917</v>
      </c>
      <c r="L7" s="11">
        <v>133.94836307692302</v>
      </c>
      <c r="M7" s="11">
        <v>135.01299230769226</v>
      </c>
      <c r="N7" s="11">
        <v>142.78086923076918</v>
      </c>
      <c r="O7" s="11">
        <v>106.17821076923073</v>
      </c>
    </row>
    <row r="8" spans="1:15" x14ac:dyDescent="0.2">
      <c r="A8" s="1">
        <v>2016</v>
      </c>
      <c r="B8" s="11">
        <v>107.4516715384615</v>
      </c>
      <c r="C8" s="11">
        <v>141.49276923076917</v>
      </c>
      <c r="D8" s="11">
        <v>130.80422538461534</v>
      </c>
      <c r="E8" s="11">
        <v>136.33264384615379</v>
      </c>
      <c r="F8" s="11">
        <v>137.35674230769226</v>
      </c>
      <c r="G8" s="11">
        <v>145.03415615384608</v>
      </c>
      <c r="H8" s="11">
        <v>107.4516715384615</v>
      </c>
      <c r="I8" s="11">
        <v>106.17821076923073</v>
      </c>
      <c r="J8" s="11">
        <v>138.8095461538461</v>
      </c>
      <c r="K8" s="11">
        <v>129.12536923076917</v>
      </c>
      <c r="L8" s="11">
        <v>133.94836307692302</v>
      </c>
      <c r="M8" s="11">
        <v>135.01299230769226</v>
      </c>
      <c r="N8" s="11">
        <v>142.78086923076918</v>
      </c>
      <c r="O8" s="11">
        <v>106.17821076923073</v>
      </c>
    </row>
    <row r="9" spans="1:15" x14ac:dyDescent="0.2">
      <c r="A9" s="1">
        <v>2017</v>
      </c>
      <c r="B9" s="11">
        <v>107.4516715384615</v>
      </c>
      <c r="C9" s="11">
        <v>141.49276923076917</v>
      </c>
      <c r="D9" s="11">
        <v>130.80422538461534</v>
      </c>
      <c r="E9" s="11">
        <v>136.33264384615379</v>
      </c>
      <c r="F9" s="11">
        <v>137.35674230769226</v>
      </c>
      <c r="G9" s="11">
        <v>145.03415615384608</v>
      </c>
      <c r="H9" s="11">
        <v>107.4516715384615</v>
      </c>
      <c r="I9" s="11">
        <v>106.17821076923073</v>
      </c>
      <c r="J9" s="11">
        <v>138.8095461538461</v>
      </c>
      <c r="K9" s="11">
        <v>129.12536923076917</v>
      </c>
      <c r="L9" s="11">
        <v>133.94836307692302</v>
      </c>
      <c r="M9" s="11">
        <v>135.01299230769226</v>
      </c>
      <c r="N9" s="11">
        <v>142.78086923076918</v>
      </c>
      <c r="O9" s="11">
        <v>106.17821076923073</v>
      </c>
    </row>
    <row r="10" spans="1:15" x14ac:dyDescent="0.2">
      <c r="A10" s="1">
        <v>2018</v>
      </c>
      <c r="B10" s="11">
        <v>107.4516715384615</v>
      </c>
      <c r="C10" s="11">
        <v>141.49276923076917</v>
      </c>
      <c r="D10" s="11">
        <v>130.80422538461534</v>
      </c>
      <c r="E10" s="11">
        <v>136.33264384615379</v>
      </c>
      <c r="F10" s="11">
        <v>137.35674230769226</v>
      </c>
      <c r="G10" s="11">
        <v>145.03415615384608</v>
      </c>
      <c r="H10" s="11">
        <v>107.4516715384615</v>
      </c>
      <c r="I10" s="11">
        <v>106.17821076923073</v>
      </c>
      <c r="J10" s="11">
        <v>138.8095461538461</v>
      </c>
      <c r="K10" s="11">
        <v>129.12536923076917</v>
      </c>
      <c r="L10" s="11">
        <v>133.94836307692302</v>
      </c>
      <c r="M10" s="11">
        <v>135.01299230769226</v>
      </c>
      <c r="N10" s="11">
        <v>142.78086923076918</v>
      </c>
      <c r="O10" s="11">
        <v>106.17821076923073</v>
      </c>
    </row>
    <row r="11" spans="1:15" x14ac:dyDescent="0.2">
      <c r="A11" s="1">
        <v>2019</v>
      </c>
      <c r="B11" s="11">
        <v>107.4516715384615</v>
      </c>
      <c r="C11" s="11">
        <v>141.49276923076917</v>
      </c>
      <c r="D11" s="11">
        <v>130.80422538461534</v>
      </c>
      <c r="E11" s="11">
        <v>136.33264384615379</v>
      </c>
      <c r="F11" s="11">
        <v>137.35674230769226</v>
      </c>
      <c r="G11" s="11">
        <v>145.03415615384608</v>
      </c>
      <c r="H11" s="11">
        <v>107.4516715384615</v>
      </c>
      <c r="I11" s="11">
        <v>106.17821076923073</v>
      </c>
      <c r="J11" s="11">
        <v>138.8095461538461</v>
      </c>
      <c r="K11" s="11">
        <v>129.12536923076917</v>
      </c>
      <c r="L11" s="11">
        <v>133.94836307692302</v>
      </c>
      <c r="M11" s="11">
        <v>135.01299230769226</v>
      </c>
      <c r="N11" s="11">
        <v>142.78086923076918</v>
      </c>
      <c r="O11" s="11">
        <v>106.17821076923073</v>
      </c>
    </row>
    <row r="12" spans="1:15" x14ac:dyDescent="0.2">
      <c r="A12" s="1">
        <v>2020</v>
      </c>
      <c r="B12" s="11">
        <v>122.51375527397833</v>
      </c>
      <c r="C12" s="11">
        <v>161.32657830614653</v>
      </c>
      <c r="D12" s="11">
        <v>149.1397632826673</v>
      </c>
      <c r="E12" s="11">
        <v>155.44313015217784</v>
      </c>
      <c r="F12" s="11">
        <v>156.61078205090584</v>
      </c>
      <c r="G12" s="11">
        <v>165.36438064660629</v>
      </c>
      <c r="H12" s="11">
        <v>122.51375527397833</v>
      </c>
      <c r="I12" s="11">
        <v>121.06178660007357</v>
      </c>
      <c r="J12" s="11">
        <v>158.26723329377992</v>
      </c>
      <c r="K12" s="11">
        <v>147.22557275377545</v>
      </c>
      <c r="L12" s="11">
        <v>152.72463181256444</v>
      </c>
      <c r="M12" s="11">
        <v>153.93849589832971</v>
      </c>
      <c r="N12" s="11">
        <v>162.79523827121676</v>
      </c>
      <c r="O12" s="11">
        <v>121.06178660007357</v>
      </c>
    </row>
    <row r="13" spans="1:15" x14ac:dyDescent="0.2">
      <c r="A13" s="1">
        <v>2021</v>
      </c>
      <c r="B13" s="11">
        <v>122.51375527397833</v>
      </c>
      <c r="C13" s="11">
        <v>161.32657830614653</v>
      </c>
      <c r="D13" s="11">
        <v>149.1397632826673</v>
      </c>
      <c r="E13" s="11">
        <v>155.44313015217784</v>
      </c>
      <c r="F13" s="11">
        <v>156.61078205090584</v>
      </c>
      <c r="G13" s="11">
        <v>165.36438064660629</v>
      </c>
      <c r="H13" s="11">
        <v>122.51375527397833</v>
      </c>
      <c r="I13" s="11">
        <v>121.06178660007357</v>
      </c>
      <c r="J13" s="11">
        <v>158.26723329377992</v>
      </c>
      <c r="K13" s="11">
        <v>147.22557275377545</v>
      </c>
      <c r="L13" s="11">
        <v>152.72463181256444</v>
      </c>
      <c r="M13" s="11">
        <v>153.93849589832971</v>
      </c>
      <c r="N13" s="11">
        <v>162.79523827121676</v>
      </c>
      <c r="O13" s="11">
        <v>121.06178660007357</v>
      </c>
    </row>
    <row r="14" spans="1:15" x14ac:dyDescent="0.2">
      <c r="A14" s="1">
        <v>2022</v>
      </c>
      <c r="B14" s="11">
        <v>122.51375527397833</v>
      </c>
      <c r="C14" s="11">
        <v>161.32657830614653</v>
      </c>
      <c r="D14" s="11">
        <v>149.1397632826673</v>
      </c>
      <c r="E14" s="11">
        <v>155.44313015217784</v>
      </c>
      <c r="F14" s="11">
        <v>156.61078205090584</v>
      </c>
      <c r="G14" s="11">
        <v>165.36438064660629</v>
      </c>
      <c r="H14" s="11">
        <v>122.51375527397833</v>
      </c>
      <c r="I14" s="11">
        <v>121.06178660007357</v>
      </c>
      <c r="J14" s="11">
        <v>158.26723329377992</v>
      </c>
      <c r="K14" s="11">
        <v>147.22557275377545</v>
      </c>
      <c r="L14" s="11">
        <v>152.72463181256444</v>
      </c>
      <c r="M14" s="11">
        <v>153.93849589832971</v>
      </c>
      <c r="N14" s="11">
        <v>162.79523827121676</v>
      </c>
      <c r="O14" s="11">
        <v>121.06178660007357</v>
      </c>
    </row>
    <row r="15" spans="1:15" x14ac:dyDescent="0.2">
      <c r="A15" s="1">
        <v>2023</v>
      </c>
      <c r="B15" s="11">
        <v>122.51375527397833</v>
      </c>
      <c r="C15" s="11">
        <v>161.32657830614653</v>
      </c>
      <c r="D15" s="11">
        <v>149.1397632826673</v>
      </c>
      <c r="E15" s="11">
        <v>155.44313015217784</v>
      </c>
      <c r="F15" s="11">
        <v>156.61078205090584</v>
      </c>
      <c r="G15" s="11">
        <v>165.36438064660629</v>
      </c>
      <c r="H15" s="11">
        <v>122.51375527397833</v>
      </c>
      <c r="I15" s="11">
        <v>121.06178660007357</v>
      </c>
      <c r="J15" s="11">
        <v>158.26723329377992</v>
      </c>
      <c r="K15" s="11">
        <v>147.22557275377545</v>
      </c>
      <c r="L15" s="11">
        <v>152.72463181256444</v>
      </c>
      <c r="M15" s="11">
        <v>153.93849589832971</v>
      </c>
      <c r="N15" s="11">
        <v>162.79523827121676</v>
      </c>
      <c r="O15" s="11">
        <v>121.06178660007357</v>
      </c>
    </row>
    <row r="16" spans="1:15" x14ac:dyDescent="0.2">
      <c r="A16" s="1">
        <v>2024</v>
      </c>
      <c r="B16" s="11">
        <v>122.51375527397833</v>
      </c>
      <c r="C16" s="11">
        <v>161.32657830614653</v>
      </c>
      <c r="D16" s="11">
        <v>149.1397632826673</v>
      </c>
      <c r="E16" s="11">
        <v>155.44313015217784</v>
      </c>
      <c r="F16" s="11">
        <v>156.61078205090584</v>
      </c>
      <c r="G16" s="11">
        <v>165.36438064660629</v>
      </c>
      <c r="H16" s="11">
        <v>122.51375527397833</v>
      </c>
      <c r="I16" s="11">
        <v>121.06178660007357</v>
      </c>
      <c r="J16" s="11">
        <v>158.26723329377992</v>
      </c>
      <c r="K16" s="11">
        <v>147.22557275377545</v>
      </c>
      <c r="L16" s="11">
        <v>152.72463181256444</v>
      </c>
      <c r="M16" s="11">
        <v>153.93849589832971</v>
      </c>
      <c r="N16" s="11">
        <v>162.79523827121676</v>
      </c>
      <c r="O16" s="11">
        <v>121.06178660007357</v>
      </c>
    </row>
    <row r="17" spans="1:15" x14ac:dyDescent="0.2">
      <c r="A17" s="1">
        <v>2025</v>
      </c>
      <c r="B17" s="11">
        <v>139.687173</v>
      </c>
      <c r="C17" s="11">
        <v>183.94059999999999</v>
      </c>
      <c r="D17" s="11">
        <v>170.04549299999999</v>
      </c>
      <c r="E17" s="11">
        <v>177.232437</v>
      </c>
      <c r="F17" s="11">
        <v>178.56376500000002</v>
      </c>
      <c r="G17" s="11">
        <v>188.54440299999999</v>
      </c>
      <c r="H17" s="11">
        <v>139.687173</v>
      </c>
      <c r="I17" s="11">
        <v>138.03167400000001</v>
      </c>
      <c r="J17" s="11">
        <v>180.45240999999999</v>
      </c>
      <c r="K17" s="11">
        <v>167.86297999999999</v>
      </c>
      <c r="L17" s="11">
        <v>174.13287199999999</v>
      </c>
      <c r="M17" s="11">
        <v>175.51688999999999</v>
      </c>
      <c r="N17" s="11">
        <v>185.61513000000002</v>
      </c>
      <c r="O17" s="11">
        <v>138.03167400000001</v>
      </c>
    </row>
    <row r="18" spans="1:15" x14ac:dyDescent="0.2">
      <c r="A18" s="1">
        <v>2026</v>
      </c>
      <c r="B18" s="11">
        <v>139.687173</v>
      </c>
      <c r="C18" s="11">
        <v>183.94059999999999</v>
      </c>
      <c r="D18" s="11">
        <v>170.04549299999999</v>
      </c>
      <c r="E18" s="11">
        <v>177.232437</v>
      </c>
      <c r="F18" s="11">
        <v>178.56376500000002</v>
      </c>
      <c r="G18" s="11">
        <v>188.54440299999999</v>
      </c>
      <c r="H18" s="11">
        <v>139.687173</v>
      </c>
      <c r="I18" s="11">
        <v>138.03167400000001</v>
      </c>
      <c r="J18" s="11">
        <v>180.45240999999999</v>
      </c>
      <c r="K18" s="11">
        <v>167.86297999999999</v>
      </c>
      <c r="L18" s="11">
        <v>174.13287199999999</v>
      </c>
      <c r="M18" s="11">
        <v>175.51688999999999</v>
      </c>
      <c r="N18" s="11">
        <v>185.61513000000002</v>
      </c>
      <c r="O18" s="11">
        <v>138.03167400000001</v>
      </c>
    </row>
    <row r="19" spans="1:15" x14ac:dyDescent="0.2">
      <c r="A19" s="1">
        <v>2027</v>
      </c>
      <c r="B19" s="11">
        <v>139.687173</v>
      </c>
      <c r="C19" s="11">
        <v>183.94059999999999</v>
      </c>
      <c r="D19" s="11">
        <v>170.04549299999999</v>
      </c>
      <c r="E19" s="11">
        <v>177.232437</v>
      </c>
      <c r="F19" s="11">
        <v>178.56376500000002</v>
      </c>
      <c r="G19" s="11">
        <v>188.54440299999999</v>
      </c>
      <c r="H19" s="11">
        <v>139.687173</v>
      </c>
      <c r="I19" s="11">
        <v>138.03167400000001</v>
      </c>
      <c r="J19" s="11">
        <v>180.45240999999999</v>
      </c>
      <c r="K19" s="11">
        <v>167.86297999999999</v>
      </c>
      <c r="L19" s="11">
        <v>174.13287199999999</v>
      </c>
      <c r="M19" s="11">
        <v>175.51688999999999</v>
      </c>
      <c r="N19" s="11">
        <v>185.61513000000002</v>
      </c>
      <c r="O19" s="11">
        <v>138.03167400000001</v>
      </c>
    </row>
    <row r="20" spans="1:15" x14ac:dyDescent="0.2">
      <c r="A20" s="1">
        <v>2028</v>
      </c>
      <c r="B20" s="11">
        <v>139.687173</v>
      </c>
      <c r="C20" s="11">
        <v>183.94059999999999</v>
      </c>
      <c r="D20" s="11">
        <v>170.04549299999999</v>
      </c>
      <c r="E20" s="11">
        <v>177.232437</v>
      </c>
      <c r="F20" s="11">
        <v>178.56376500000002</v>
      </c>
      <c r="G20" s="11">
        <v>188.54440299999999</v>
      </c>
      <c r="H20" s="11">
        <v>139.687173</v>
      </c>
      <c r="I20" s="11">
        <v>138.03167400000001</v>
      </c>
      <c r="J20" s="11">
        <v>180.45240999999999</v>
      </c>
      <c r="K20" s="11">
        <v>167.86297999999999</v>
      </c>
      <c r="L20" s="11">
        <v>174.13287199999999</v>
      </c>
      <c r="M20" s="11">
        <v>175.51688999999999</v>
      </c>
      <c r="N20" s="11">
        <v>185.61513000000002</v>
      </c>
      <c r="O20" s="11">
        <v>138.03167400000001</v>
      </c>
    </row>
    <row r="21" spans="1:15" x14ac:dyDescent="0.2">
      <c r="A21" s="1">
        <v>2029</v>
      </c>
      <c r="B21" s="11">
        <v>139.687173</v>
      </c>
      <c r="C21" s="11">
        <v>183.94059999999999</v>
      </c>
      <c r="D21" s="11">
        <v>170.04549299999999</v>
      </c>
      <c r="E21" s="11">
        <v>177.232437</v>
      </c>
      <c r="F21" s="11">
        <v>178.56376500000002</v>
      </c>
      <c r="G21" s="11">
        <v>188.54440299999999</v>
      </c>
      <c r="H21" s="11">
        <v>139.687173</v>
      </c>
      <c r="I21" s="11">
        <v>138.03167400000001</v>
      </c>
      <c r="J21" s="11">
        <v>180.45240999999999</v>
      </c>
      <c r="K21" s="11">
        <v>167.86297999999999</v>
      </c>
      <c r="L21" s="11">
        <v>174.13287199999999</v>
      </c>
      <c r="M21" s="11">
        <v>175.51688999999999</v>
      </c>
      <c r="N21" s="11">
        <v>185.61513000000002</v>
      </c>
      <c r="O21" s="11">
        <v>138.03167400000001</v>
      </c>
    </row>
    <row r="22" spans="1:15" x14ac:dyDescent="0.2">
      <c r="A22" s="1">
        <v>2030</v>
      </c>
      <c r="B22" s="11">
        <v>159.26788185617184</v>
      </c>
      <c r="C22" s="11">
        <v>209.7245517979905</v>
      </c>
      <c r="D22" s="11">
        <v>193.88169226746749</v>
      </c>
      <c r="E22" s="11">
        <v>202.0760691978312</v>
      </c>
      <c r="F22" s="11">
        <v>203.59401666617762</v>
      </c>
      <c r="G22" s="11">
        <v>214.97369484058819</v>
      </c>
      <c r="H22" s="11">
        <v>159.26788185617184</v>
      </c>
      <c r="I22" s="11">
        <v>157.38032258009565</v>
      </c>
      <c r="J22" s="11">
        <v>205.74740328191393</v>
      </c>
      <c r="K22" s="11">
        <v>191.3932445799081</v>
      </c>
      <c r="L22" s="11">
        <v>198.54202135633378</v>
      </c>
      <c r="M22" s="11">
        <v>200.12004466782864</v>
      </c>
      <c r="N22" s="11">
        <v>211.63380975258181</v>
      </c>
      <c r="O22" s="11">
        <v>157.38032258009565</v>
      </c>
    </row>
    <row r="23" spans="1:15" x14ac:dyDescent="0.2">
      <c r="A23" s="1">
        <v>2031</v>
      </c>
      <c r="B23" s="11">
        <v>159.26788185617184</v>
      </c>
      <c r="C23" s="11">
        <v>209.7245517979905</v>
      </c>
      <c r="D23" s="11">
        <v>193.88169226746749</v>
      </c>
      <c r="E23" s="11">
        <v>202.0760691978312</v>
      </c>
      <c r="F23" s="11">
        <v>203.59401666617762</v>
      </c>
      <c r="G23" s="11">
        <v>214.97369484058819</v>
      </c>
      <c r="H23" s="11">
        <v>159.26788185617184</v>
      </c>
      <c r="I23" s="11">
        <v>157.38032258009565</v>
      </c>
      <c r="J23" s="11">
        <v>205.74740328191393</v>
      </c>
      <c r="K23" s="11">
        <v>191.3932445799081</v>
      </c>
      <c r="L23" s="11">
        <v>198.54202135633378</v>
      </c>
      <c r="M23" s="11">
        <v>200.12004466782864</v>
      </c>
      <c r="N23" s="11">
        <v>211.63380975258181</v>
      </c>
      <c r="O23" s="11">
        <v>157.38032258009565</v>
      </c>
    </row>
    <row r="24" spans="1:15" x14ac:dyDescent="0.2">
      <c r="A24" s="1">
        <v>2032</v>
      </c>
      <c r="B24" s="11">
        <v>159.26788185617184</v>
      </c>
      <c r="C24" s="11">
        <v>209.7245517979905</v>
      </c>
      <c r="D24" s="11">
        <v>193.88169226746749</v>
      </c>
      <c r="E24" s="11">
        <v>202.0760691978312</v>
      </c>
      <c r="F24" s="11">
        <v>203.59401666617762</v>
      </c>
      <c r="G24" s="11">
        <v>214.97369484058819</v>
      </c>
      <c r="H24" s="11">
        <v>159.26788185617184</v>
      </c>
      <c r="I24" s="11">
        <v>157.38032258009565</v>
      </c>
      <c r="J24" s="11">
        <v>205.74740328191393</v>
      </c>
      <c r="K24" s="11">
        <v>191.3932445799081</v>
      </c>
      <c r="L24" s="11">
        <v>198.54202135633378</v>
      </c>
      <c r="M24" s="11">
        <v>200.12004466782864</v>
      </c>
      <c r="N24" s="11">
        <v>211.63380975258181</v>
      </c>
      <c r="O24" s="11">
        <v>157.38032258009565</v>
      </c>
    </row>
    <row r="25" spans="1:15" x14ac:dyDescent="0.2">
      <c r="A25" s="1">
        <v>2033</v>
      </c>
      <c r="B25" s="11">
        <v>159.26788185617184</v>
      </c>
      <c r="C25" s="11">
        <v>209.7245517979905</v>
      </c>
      <c r="D25" s="11">
        <v>193.88169226746749</v>
      </c>
      <c r="E25" s="11">
        <v>202.0760691978312</v>
      </c>
      <c r="F25" s="11">
        <v>203.59401666617762</v>
      </c>
      <c r="G25" s="11">
        <v>214.97369484058819</v>
      </c>
      <c r="H25" s="11">
        <v>159.26788185617184</v>
      </c>
      <c r="I25" s="11">
        <v>157.38032258009565</v>
      </c>
      <c r="J25" s="11">
        <v>205.74740328191393</v>
      </c>
      <c r="K25" s="11">
        <v>191.3932445799081</v>
      </c>
      <c r="L25" s="11">
        <v>198.54202135633378</v>
      </c>
      <c r="M25" s="11">
        <v>200.12004466782864</v>
      </c>
      <c r="N25" s="11">
        <v>211.63380975258181</v>
      </c>
      <c r="O25" s="11">
        <v>157.38032258009565</v>
      </c>
    </row>
    <row r="26" spans="1:15" x14ac:dyDescent="0.2">
      <c r="A26" s="1">
        <v>2034</v>
      </c>
      <c r="B26" s="11">
        <v>159.26788185617184</v>
      </c>
      <c r="C26" s="11">
        <v>209.7245517979905</v>
      </c>
      <c r="D26" s="11">
        <v>193.88169226746749</v>
      </c>
      <c r="E26" s="11">
        <v>202.0760691978312</v>
      </c>
      <c r="F26" s="11">
        <v>203.59401666617762</v>
      </c>
      <c r="G26" s="11">
        <v>214.97369484058819</v>
      </c>
      <c r="H26" s="11">
        <v>159.26788185617184</v>
      </c>
      <c r="I26" s="11">
        <v>157.38032258009565</v>
      </c>
      <c r="J26" s="11">
        <v>205.74740328191393</v>
      </c>
      <c r="K26" s="11">
        <v>191.3932445799081</v>
      </c>
      <c r="L26" s="11">
        <v>198.54202135633378</v>
      </c>
      <c r="M26" s="11">
        <v>200.12004466782864</v>
      </c>
      <c r="N26" s="11">
        <v>211.63380975258181</v>
      </c>
      <c r="O26" s="11">
        <v>157.38032258009565</v>
      </c>
    </row>
    <row r="27" spans="1:15" x14ac:dyDescent="0.2">
      <c r="A27" s="1">
        <v>2035</v>
      </c>
      <c r="B27" s="11">
        <v>181.59332490000008</v>
      </c>
      <c r="C27" s="11">
        <v>239.12278000000006</v>
      </c>
      <c r="D27" s="11">
        <v>221.05914090000007</v>
      </c>
      <c r="E27" s="11">
        <v>230.4021681000001</v>
      </c>
      <c r="F27" s="11">
        <v>232.13289450000011</v>
      </c>
      <c r="G27" s="11">
        <v>245.10772390000008</v>
      </c>
      <c r="H27" s="11">
        <v>181.59332490000008</v>
      </c>
      <c r="I27" s="11">
        <v>179.44117620000009</v>
      </c>
      <c r="J27" s="11">
        <v>234.58813300000008</v>
      </c>
      <c r="K27" s="11">
        <v>218.22187400000007</v>
      </c>
      <c r="L27" s="11">
        <v>226.37273360000006</v>
      </c>
      <c r="M27" s="11">
        <v>228.17195700000008</v>
      </c>
      <c r="N27" s="11">
        <v>241.29966900000011</v>
      </c>
      <c r="O27" s="11">
        <v>179.44117620000009</v>
      </c>
    </row>
    <row r="28" spans="1:15" x14ac:dyDescent="0.2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2:15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2:15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2:15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2:15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2:15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2:15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2:15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2:15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2:15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2:15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CDC-6E8B-4A40-A092-D2ADADCD52F3}">
  <sheetPr codeName="Sheet92"/>
  <dimension ref="A1:A2"/>
  <sheetViews>
    <sheetView workbookViewId="0"/>
  </sheetViews>
  <sheetFormatPr baseColWidth="10" defaultRowHeight="16" x14ac:dyDescent="0.2"/>
  <cols>
    <col min="1" max="1" width="15.6640625" bestFit="1" customWidth="1"/>
  </cols>
  <sheetData>
    <row r="1" spans="1:1" x14ac:dyDescent="0.2">
      <c r="A1" s="1" t="s">
        <v>88</v>
      </c>
    </row>
    <row r="2" spans="1:1" x14ac:dyDescent="0.2">
      <c r="A2" s="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3664-584C-4145-BD24-C0EC0C807C6B}">
  <sheetPr codeName="Sheet23"/>
  <dimension ref="A1:H15"/>
  <sheetViews>
    <sheetView zoomScaleNormal="100" workbookViewId="0"/>
  </sheetViews>
  <sheetFormatPr baseColWidth="10" defaultRowHeight="16" x14ac:dyDescent="0.2"/>
  <cols>
    <col min="1" max="1" width="24" style="1" bestFit="1" customWidth="1"/>
    <col min="2" max="16384" width="10.83203125" style="1"/>
  </cols>
  <sheetData>
    <row r="1" spans="1:8" s="16" customFormat="1" x14ac:dyDescent="0.2">
      <c r="A1" s="16" t="s">
        <v>35</v>
      </c>
      <c r="B1" s="16" t="s">
        <v>9</v>
      </c>
      <c r="C1" s="16" t="s">
        <v>5</v>
      </c>
      <c r="D1" s="16" t="s">
        <v>4</v>
      </c>
      <c r="E1" s="16" t="s">
        <v>8</v>
      </c>
      <c r="F1" s="16" t="s">
        <v>3</v>
      </c>
      <c r="G1" s="16" t="s">
        <v>6</v>
      </c>
      <c r="H1" s="16" t="s">
        <v>42</v>
      </c>
    </row>
    <row r="2" spans="1:8" x14ac:dyDescent="0.2">
      <c r="A2" s="1" t="s">
        <v>82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</row>
    <row r="3" spans="1:8" x14ac:dyDescent="0.2">
      <c r="A3" s="1" t="s">
        <v>41</v>
      </c>
      <c r="B3" s="10">
        <v>0.09</v>
      </c>
      <c r="C3" s="10">
        <v>5.1999999999999998E-2</v>
      </c>
      <c r="D3" s="10">
        <v>5.1999999999999998E-2</v>
      </c>
      <c r="E3" s="10">
        <v>2.5000000000000001E-2</v>
      </c>
      <c r="F3" s="10">
        <v>3.7999999999999999E-2</v>
      </c>
      <c r="G3" s="10">
        <v>0</v>
      </c>
      <c r="H3" s="10">
        <v>0</v>
      </c>
    </row>
    <row r="4" spans="1:8" x14ac:dyDescent="0.2">
      <c r="A4" s="1" t="s">
        <v>85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0.17899999999999999</v>
      </c>
    </row>
    <row r="5" spans="1:8" x14ac:dyDescent="0.2">
      <c r="A5" s="1" t="s">
        <v>37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</row>
    <row r="6" spans="1:8" x14ac:dyDescent="0.2">
      <c r="A6" s="1" t="s">
        <v>47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</row>
    <row r="7" spans="1:8" x14ac:dyDescent="0.2">
      <c r="A7" s="1" t="s">
        <v>36</v>
      </c>
      <c r="B7" s="10">
        <v>0.09</v>
      </c>
      <c r="C7" s="10">
        <v>0.13</v>
      </c>
      <c r="D7" s="10">
        <v>0.155</v>
      </c>
      <c r="E7" s="10">
        <v>0.19700000000000001</v>
      </c>
      <c r="F7" s="10">
        <v>0.20399999999999999</v>
      </c>
      <c r="G7" s="10">
        <v>0</v>
      </c>
      <c r="H7" s="10">
        <v>0</v>
      </c>
    </row>
    <row r="8" spans="1:8" x14ac:dyDescent="0.2">
      <c r="A8" s="1" t="s">
        <v>44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</row>
    <row r="9" spans="1:8" x14ac:dyDescent="0.2">
      <c r="A9" s="1" t="s">
        <v>76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8" x14ac:dyDescent="0.2">
      <c r="A10" s="1" t="s">
        <v>77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</row>
    <row r="11" spans="1:8" x14ac:dyDescent="0.2">
      <c r="A11" s="1" t="s">
        <v>11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 x14ac:dyDescent="0.2">
      <c r="A12" s="1" t="s">
        <v>84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x14ac:dyDescent="0.2">
      <c r="B13" s="13"/>
      <c r="C13" s="13"/>
      <c r="D13" s="13"/>
      <c r="E13" s="13"/>
      <c r="F13" s="13"/>
      <c r="G13" s="13"/>
      <c r="H13" s="13"/>
    </row>
    <row r="14" spans="1:8" x14ac:dyDescent="0.2">
      <c r="B14" s="13"/>
      <c r="C14" s="13"/>
      <c r="D14" s="13"/>
      <c r="E14" s="13"/>
      <c r="F14" s="13"/>
      <c r="G14" s="13"/>
      <c r="H14" s="13"/>
    </row>
    <row r="15" spans="1:8" x14ac:dyDescent="0.2">
      <c r="B15" s="13"/>
      <c r="C15" s="13"/>
      <c r="D15" s="13"/>
      <c r="E15" s="13"/>
      <c r="F15" s="13"/>
      <c r="G15" s="13"/>
      <c r="H15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19D1-E7F6-5E4C-87F7-B2D54C5C501B}">
  <sheetPr codeName="Sheet24"/>
  <dimension ref="A1:I25"/>
  <sheetViews>
    <sheetView zoomScaleNormal="100" workbookViewId="0"/>
  </sheetViews>
  <sheetFormatPr baseColWidth="10" defaultRowHeight="16" x14ac:dyDescent="0.2"/>
  <cols>
    <col min="1" max="1" width="24" style="1" bestFit="1" customWidth="1"/>
    <col min="2" max="16384" width="10.83203125" style="1"/>
  </cols>
  <sheetData>
    <row r="1" spans="1:9" s="16" customFormat="1" x14ac:dyDescent="0.2">
      <c r="A1" s="16" t="s">
        <v>35</v>
      </c>
      <c r="B1" s="16" t="s">
        <v>9</v>
      </c>
      <c r="C1" s="16" t="s">
        <v>5</v>
      </c>
      <c r="D1" s="16" t="s">
        <v>4</v>
      </c>
      <c r="E1" s="16" t="s">
        <v>8</v>
      </c>
      <c r="F1" s="16" t="s">
        <v>3</v>
      </c>
      <c r="G1" s="16" t="s">
        <v>6</v>
      </c>
      <c r="H1" s="16" t="s">
        <v>42</v>
      </c>
    </row>
    <row r="2" spans="1:9" x14ac:dyDescent="0.2">
      <c r="A2" s="1" t="s">
        <v>82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9"/>
    </row>
    <row r="3" spans="1:9" x14ac:dyDescent="0.2">
      <c r="A3" s="1" t="s">
        <v>41</v>
      </c>
      <c r="B3" s="10">
        <v>0.109</v>
      </c>
      <c r="C3" s="10">
        <v>6.4000000000000001E-2</v>
      </c>
      <c r="D3" s="10">
        <v>6.3E-2</v>
      </c>
      <c r="E3" s="10">
        <v>0.03</v>
      </c>
      <c r="F3" s="10">
        <v>4.7E-2</v>
      </c>
      <c r="G3" s="10">
        <v>0</v>
      </c>
      <c r="H3" s="10">
        <v>0</v>
      </c>
      <c r="I3" s="9"/>
    </row>
    <row r="4" spans="1:9" x14ac:dyDescent="0.2">
      <c r="A4" s="1" t="s">
        <v>85</v>
      </c>
      <c r="B4" s="10">
        <v>0.26800000000000002</v>
      </c>
      <c r="C4" s="10">
        <v>0.28499999999999998</v>
      </c>
      <c r="D4" s="10">
        <v>0.28899999999999998</v>
      </c>
      <c r="E4" s="10">
        <v>0.312</v>
      </c>
      <c r="F4" s="10">
        <v>0.30099999999999999</v>
      </c>
      <c r="G4" s="10">
        <v>0.28399999999999997</v>
      </c>
      <c r="H4" s="10">
        <v>0.17899999999999999</v>
      </c>
      <c r="I4" s="9"/>
    </row>
    <row r="5" spans="1:9" x14ac:dyDescent="0.2">
      <c r="A5" s="1" t="s">
        <v>37</v>
      </c>
      <c r="B5" s="10">
        <v>0.187</v>
      </c>
      <c r="C5" s="10">
        <v>0.182</v>
      </c>
      <c r="D5" s="10">
        <v>0.18</v>
      </c>
      <c r="E5" s="10">
        <v>0.17299999999999999</v>
      </c>
      <c r="F5" s="10">
        <v>0.17899999999999999</v>
      </c>
      <c r="G5" s="10">
        <v>0.13400000000000001</v>
      </c>
      <c r="H5" s="10">
        <v>0</v>
      </c>
      <c r="I5" s="9"/>
    </row>
    <row r="6" spans="1:9" x14ac:dyDescent="0.2">
      <c r="A6" s="1" t="s">
        <v>47</v>
      </c>
      <c r="B6" s="10">
        <v>0.10199999999999999</v>
      </c>
      <c r="C6" s="10">
        <v>8.8999999999999996E-2</v>
      </c>
      <c r="D6" s="10">
        <v>5.8999999999999997E-2</v>
      </c>
      <c r="E6" s="10">
        <v>2.8000000000000001E-2</v>
      </c>
      <c r="F6" s="10">
        <v>0</v>
      </c>
      <c r="G6" s="10">
        <v>0</v>
      </c>
      <c r="H6" s="10">
        <v>0</v>
      </c>
      <c r="I6" s="9"/>
    </row>
    <row r="7" spans="1:9" x14ac:dyDescent="0.2">
      <c r="A7" s="1" t="s">
        <v>36</v>
      </c>
      <c r="B7" s="10">
        <v>0.109</v>
      </c>
      <c r="C7" s="10">
        <v>0.159</v>
      </c>
      <c r="D7" s="10">
        <v>0.189</v>
      </c>
      <c r="E7" s="10">
        <v>0.24099999999999999</v>
      </c>
      <c r="F7" s="10">
        <v>0.25</v>
      </c>
      <c r="G7" s="10">
        <v>0</v>
      </c>
      <c r="H7" s="10">
        <v>0</v>
      </c>
      <c r="I7" s="9"/>
    </row>
    <row r="8" spans="1:9" x14ac:dyDescent="0.2">
      <c r="A8" s="1" t="s">
        <v>44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9"/>
    </row>
    <row r="9" spans="1:9" x14ac:dyDescent="0.2">
      <c r="A9" s="1" t="s">
        <v>76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9"/>
    </row>
    <row r="10" spans="1:9" x14ac:dyDescent="0.2">
      <c r="A10" s="1" t="s">
        <v>77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9"/>
    </row>
    <row r="11" spans="1:9" x14ac:dyDescent="0.2">
      <c r="A11" s="1" t="s">
        <v>11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9"/>
    </row>
    <row r="12" spans="1:9" x14ac:dyDescent="0.2">
      <c r="A12" s="1" t="s">
        <v>84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4" spans="1:9" x14ac:dyDescent="0.2">
      <c r="B14" s="14"/>
      <c r="C14" s="14"/>
      <c r="D14" s="14"/>
      <c r="E14" s="14"/>
      <c r="F14" s="14"/>
      <c r="G14" s="14"/>
      <c r="H14" s="14"/>
    </row>
    <row r="15" spans="1:9" x14ac:dyDescent="0.2">
      <c r="B15" s="14"/>
      <c r="C15" s="14"/>
      <c r="D15" s="14"/>
      <c r="E15" s="14"/>
      <c r="F15" s="14"/>
      <c r="G15" s="14"/>
      <c r="H15" s="14"/>
    </row>
    <row r="16" spans="1:9" x14ac:dyDescent="0.2">
      <c r="B16" s="14"/>
      <c r="C16" s="14"/>
      <c r="D16" s="14"/>
      <c r="E16" s="14"/>
      <c r="F16" s="14"/>
      <c r="G16" s="14"/>
      <c r="H16" s="14"/>
    </row>
    <row r="17" spans="2:8" x14ac:dyDescent="0.2">
      <c r="B17" s="14"/>
      <c r="C17" s="14"/>
      <c r="D17" s="14"/>
      <c r="E17" s="14"/>
      <c r="F17" s="14"/>
      <c r="G17" s="14"/>
      <c r="H17" s="14"/>
    </row>
    <row r="18" spans="2:8" x14ac:dyDescent="0.2">
      <c r="B18" s="14"/>
      <c r="C18" s="14"/>
      <c r="D18" s="14"/>
      <c r="E18" s="14"/>
      <c r="F18" s="14"/>
      <c r="G18" s="14"/>
      <c r="H18" s="14"/>
    </row>
    <row r="19" spans="2:8" x14ac:dyDescent="0.2">
      <c r="B19" s="14"/>
      <c r="C19" s="14"/>
      <c r="D19" s="14"/>
      <c r="E19" s="14"/>
      <c r="F19" s="14"/>
      <c r="G19" s="14"/>
      <c r="H19" s="14"/>
    </row>
    <row r="20" spans="2:8" x14ac:dyDescent="0.2">
      <c r="B20" s="14"/>
      <c r="C20" s="14"/>
      <c r="D20" s="14"/>
      <c r="E20" s="14"/>
      <c r="F20" s="14"/>
      <c r="G20" s="14"/>
      <c r="H20" s="14"/>
    </row>
    <row r="21" spans="2:8" x14ac:dyDescent="0.2">
      <c r="B21" s="14"/>
      <c r="C21" s="14"/>
      <c r="D21" s="14"/>
      <c r="E21" s="14"/>
      <c r="F21" s="14"/>
      <c r="G21" s="14"/>
      <c r="H21" s="14"/>
    </row>
    <row r="22" spans="2:8" x14ac:dyDescent="0.2">
      <c r="B22" s="14"/>
      <c r="C22" s="14"/>
      <c r="D22" s="14"/>
      <c r="E22" s="14"/>
      <c r="F22" s="14"/>
      <c r="G22" s="14"/>
      <c r="H22" s="14"/>
    </row>
    <row r="23" spans="2:8" x14ac:dyDescent="0.2">
      <c r="B23" s="14"/>
      <c r="C23" s="14"/>
      <c r="D23" s="14"/>
      <c r="E23" s="14"/>
      <c r="F23" s="14"/>
      <c r="G23" s="14"/>
      <c r="H23" s="14"/>
    </row>
    <row r="24" spans="2:8" x14ac:dyDescent="0.2">
      <c r="B24" s="14"/>
      <c r="C24" s="14"/>
      <c r="D24" s="14"/>
      <c r="E24" s="14"/>
      <c r="F24" s="14"/>
      <c r="G24" s="14"/>
      <c r="H24" s="14"/>
    </row>
    <row r="25" spans="2:8" x14ac:dyDescent="0.2">
      <c r="B25" s="14"/>
      <c r="C25" s="14"/>
      <c r="D25" s="14"/>
      <c r="E25" s="14"/>
      <c r="F25" s="14"/>
      <c r="G25" s="14"/>
      <c r="H25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04AF-69EF-0646-B713-71C3CB2AF9C7}">
  <sheetPr codeName="Sheet25"/>
  <dimension ref="A1:H12"/>
  <sheetViews>
    <sheetView zoomScaleNormal="100" workbookViewId="0"/>
  </sheetViews>
  <sheetFormatPr baseColWidth="10" defaultRowHeight="16" x14ac:dyDescent="0.2"/>
  <cols>
    <col min="1" max="1" width="24" style="4" bestFit="1" customWidth="1"/>
    <col min="2" max="7" width="10.83203125" style="4"/>
    <col min="8" max="8" width="11.1640625" style="4" bestFit="1" customWidth="1"/>
    <col min="9" max="16384" width="10.83203125" style="4"/>
  </cols>
  <sheetData>
    <row r="1" spans="1:8" s="15" customFormat="1" x14ac:dyDescent="0.2">
      <c r="A1" s="15" t="s">
        <v>35</v>
      </c>
      <c r="B1" s="15" t="s">
        <v>9</v>
      </c>
      <c r="C1" s="15" t="s">
        <v>5</v>
      </c>
      <c r="D1" s="15" t="s">
        <v>4</v>
      </c>
      <c r="E1" s="15" t="s">
        <v>8</v>
      </c>
      <c r="F1" s="15" t="s">
        <v>3</v>
      </c>
      <c r="G1" s="15" t="s">
        <v>6</v>
      </c>
      <c r="H1" s="15" t="s">
        <v>42</v>
      </c>
    </row>
    <row r="2" spans="1:8" x14ac:dyDescent="0.2">
      <c r="A2" s="4" t="s">
        <v>82</v>
      </c>
      <c r="B2" s="10">
        <v>0.56799999999999995</v>
      </c>
      <c r="C2" s="10">
        <v>0.55000000000000004</v>
      </c>
      <c r="D2" s="10">
        <v>0.54600000000000004</v>
      </c>
      <c r="E2" s="10">
        <v>0.52300000000000002</v>
      </c>
      <c r="F2" s="10">
        <v>0.53500000000000003</v>
      </c>
      <c r="G2" s="10">
        <v>0.58599999999999997</v>
      </c>
      <c r="H2" s="10">
        <v>0.35880000000000001</v>
      </c>
    </row>
    <row r="3" spans="1:8" x14ac:dyDescent="0.2">
      <c r="A3" s="4" t="s">
        <v>41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</row>
    <row r="4" spans="1:8" x14ac:dyDescent="0.2">
      <c r="A4" s="4" t="s">
        <v>85</v>
      </c>
      <c r="B4" s="10">
        <v>0.308</v>
      </c>
      <c r="C4" s="10">
        <v>0.32700000000000001</v>
      </c>
      <c r="D4" s="10">
        <v>0.33100000000000002</v>
      </c>
      <c r="E4" s="10">
        <v>0.35499999999999998</v>
      </c>
      <c r="F4" s="10">
        <v>0.34300000000000003</v>
      </c>
      <c r="G4" s="10">
        <v>0.28899999999999998</v>
      </c>
      <c r="H4" s="10">
        <v>0</v>
      </c>
    </row>
    <row r="5" spans="1:8" x14ac:dyDescent="0.2">
      <c r="A5" s="4" t="s">
        <v>37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</row>
    <row r="6" spans="1:8" x14ac:dyDescent="0.2">
      <c r="A6" s="4" t="s">
        <v>47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</row>
    <row r="7" spans="1:8" x14ac:dyDescent="0.2">
      <c r="A7" s="4" t="s">
        <v>36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</row>
    <row r="8" spans="1:8" x14ac:dyDescent="0.2">
      <c r="A8" s="4" t="s">
        <v>44</v>
      </c>
      <c r="B8" s="10">
        <v>2.3E-2</v>
      </c>
      <c r="C8" s="10">
        <v>2.3E-2</v>
      </c>
      <c r="D8" s="10">
        <v>2.3E-2</v>
      </c>
      <c r="E8" s="10">
        <v>2.3E-2</v>
      </c>
      <c r="F8" s="10">
        <v>2.3E-2</v>
      </c>
      <c r="G8" s="10">
        <v>2.3E-2</v>
      </c>
      <c r="H8" s="10">
        <v>2.4500000000000001E-2</v>
      </c>
    </row>
    <row r="9" spans="1:8" x14ac:dyDescent="0.2">
      <c r="A9" s="4" t="s">
        <v>76</v>
      </c>
      <c r="B9" s="10">
        <v>9.6000000000000002E-2</v>
      </c>
      <c r="C9" s="10">
        <v>9.6000000000000002E-2</v>
      </c>
      <c r="D9" s="10">
        <v>9.6000000000000002E-2</v>
      </c>
      <c r="E9" s="10">
        <v>9.6000000000000002E-2</v>
      </c>
      <c r="F9" s="10">
        <v>9.6000000000000002E-2</v>
      </c>
      <c r="G9" s="10">
        <v>9.6000000000000002E-2</v>
      </c>
      <c r="H9" s="10">
        <v>0</v>
      </c>
    </row>
    <row r="10" spans="1:8" x14ac:dyDescent="0.2">
      <c r="A10" s="4" t="s">
        <v>77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0.121</v>
      </c>
    </row>
    <row r="11" spans="1:8" x14ac:dyDescent="0.2">
      <c r="A11" s="4" t="s">
        <v>11</v>
      </c>
      <c r="B11" s="10">
        <f t="shared" ref="B11:H11" si="0">0.985*0.975</f>
        <v>0.96037499999999998</v>
      </c>
      <c r="C11" s="10">
        <f t="shared" si="0"/>
        <v>0.96037499999999998</v>
      </c>
      <c r="D11" s="10">
        <f t="shared" si="0"/>
        <v>0.96037499999999998</v>
      </c>
      <c r="E11" s="10">
        <f t="shared" si="0"/>
        <v>0.96037499999999998</v>
      </c>
      <c r="F11" s="10">
        <f t="shared" si="0"/>
        <v>0.96037499999999998</v>
      </c>
      <c r="G11" s="10">
        <f t="shared" si="0"/>
        <v>0.96037499999999998</v>
      </c>
      <c r="H11" s="10">
        <f t="shared" si="0"/>
        <v>0.96037499999999998</v>
      </c>
    </row>
    <row r="12" spans="1:8" x14ac:dyDescent="0.2">
      <c r="A12" s="4" t="s">
        <v>84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0.17899999999999999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841B-27DF-DA4F-8EC5-DF207B035E7B}">
  <sheetPr codeName="Sheet77"/>
  <dimension ref="A1:C42"/>
  <sheetViews>
    <sheetView zoomScaleNormal="100" workbookViewId="0"/>
  </sheetViews>
  <sheetFormatPr baseColWidth="10" defaultRowHeight="16" x14ac:dyDescent="0.2"/>
  <cols>
    <col min="1" max="1" width="8.1640625" style="1" customWidth="1"/>
    <col min="2" max="2" width="13" style="1" bestFit="1" customWidth="1"/>
    <col min="3" max="3" width="24.6640625" style="1" bestFit="1" customWidth="1"/>
    <col min="4" max="16384" width="10.83203125" style="1"/>
  </cols>
  <sheetData>
    <row r="1" spans="1:3" s="16" customFormat="1" x14ac:dyDescent="0.2">
      <c r="A1" s="16" t="s">
        <v>0</v>
      </c>
      <c r="B1" s="16" t="s">
        <v>90</v>
      </c>
      <c r="C1" s="16" t="s">
        <v>91</v>
      </c>
    </row>
    <row r="2" spans="1:3" x14ac:dyDescent="0.2">
      <c r="A2" s="1">
        <v>2010</v>
      </c>
      <c r="B2" s="9">
        <v>0</v>
      </c>
    </row>
    <row r="3" spans="1:3" x14ac:dyDescent="0.2">
      <c r="A3" s="1">
        <v>2011</v>
      </c>
      <c r="B3" s="9">
        <v>0</v>
      </c>
    </row>
    <row r="4" spans="1:3" x14ac:dyDescent="0.2">
      <c r="A4" s="1">
        <v>2012</v>
      </c>
      <c r="B4" s="9">
        <v>0</v>
      </c>
    </row>
    <row r="5" spans="1:3" x14ac:dyDescent="0.2">
      <c r="A5" s="1">
        <v>2013</v>
      </c>
      <c r="B5" s="9">
        <v>0</v>
      </c>
    </row>
    <row r="6" spans="1:3" x14ac:dyDescent="0.2">
      <c r="A6" s="1">
        <v>2014</v>
      </c>
      <c r="B6" s="9">
        <v>0</v>
      </c>
    </row>
    <row r="7" spans="1:3" x14ac:dyDescent="0.2">
      <c r="A7" s="1">
        <v>2015</v>
      </c>
      <c r="B7" s="9">
        <v>0</v>
      </c>
    </row>
    <row r="8" spans="1:3" x14ac:dyDescent="0.2">
      <c r="A8" s="1">
        <v>2016</v>
      </c>
      <c r="B8" s="9">
        <v>0</v>
      </c>
    </row>
    <row r="9" spans="1:3" x14ac:dyDescent="0.2">
      <c r="A9" s="1">
        <v>2017</v>
      </c>
      <c r="B9" s="9">
        <v>0</v>
      </c>
    </row>
    <row r="10" spans="1:3" x14ac:dyDescent="0.2">
      <c r="A10" s="1">
        <v>2018</v>
      </c>
      <c r="B10" s="9">
        <v>0</v>
      </c>
    </row>
    <row r="11" spans="1:3" x14ac:dyDescent="0.2">
      <c r="A11" s="1">
        <v>2019</v>
      </c>
      <c r="B11" s="9">
        <v>0</v>
      </c>
    </row>
    <row r="12" spans="1:3" x14ac:dyDescent="0.2">
      <c r="A12" s="1">
        <v>2020</v>
      </c>
      <c r="B12" s="9">
        <v>2.4999999999999998E-2</v>
      </c>
      <c r="C12" s="1">
        <v>23150</v>
      </c>
    </row>
    <row r="13" spans="1:3" x14ac:dyDescent="0.2">
      <c r="A13" s="1">
        <v>2021</v>
      </c>
      <c r="B13" s="9">
        <v>4.9999999999999996E-2</v>
      </c>
      <c r="C13" s="1">
        <v>23150</v>
      </c>
    </row>
    <row r="14" spans="1:3" x14ac:dyDescent="0.2">
      <c r="A14" s="1">
        <v>2022</v>
      </c>
      <c r="B14" s="9">
        <v>7.4999999999999997E-2</v>
      </c>
      <c r="C14" s="1">
        <v>23150</v>
      </c>
    </row>
    <row r="15" spans="1:3" x14ac:dyDescent="0.2">
      <c r="A15" s="1">
        <v>2023</v>
      </c>
      <c r="B15" s="9">
        <v>9.9999999999999992E-2</v>
      </c>
      <c r="C15" s="1">
        <v>23150</v>
      </c>
    </row>
    <row r="16" spans="1:3" x14ac:dyDescent="0.2">
      <c r="A16" s="1">
        <v>2024</v>
      </c>
      <c r="B16" s="9">
        <v>0.12499999999999999</v>
      </c>
      <c r="C16" s="1">
        <v>23150</v>
      </c>
    </row>
    <row r="17" spans="1:3" x14ac:dyDescent="0.2">
      <c r="A17" s="1">
        <v>2025</v>
      </c>
      <c r="B17" s="9">
        <v>0.15</v>
      </c>
      <c r="C17" s="1">
        <v>23150</v>
      </c>
    </row>
    <row r="18" spans="1:3" x14ac:dyDescent="0.2">
      <c r="A18" s="1">
        <v>2026</v>
      </c>
      <c r="B18" s="9">
        <v>0.15</v>
      </c>
      <c r="C18" s="1">
        <v>23150</v>
      </c>
    </row>
    <row r="19" spans="1:3" x14ac:dyDescent="0.2">
      <c r="A19" s="1">
        <v>2027</v>
      </c>
      <c r="B19" s="9">
        <v>0.15</v>
      </c>
      <c r="C19" s="1">
        <v>23150</v>
      </c>
    </row>
    <row r="20" spans="1:3" x14ac:dyDescent="0.2">
      <c r="A20" s="1">
        <v>2028</v>
      </c>
      <c r="B20" s="9">
        <v>0.15</v>
      </c>
      <c r="C20" s="1">
        <v>23150</v>
      </c>
    </row>
    <row r="21" spans="1:3" x14ac:dyDescent="0.2">
      <c r="A21" s="1">
        <v>2029</v>
      </c>
      <c r="B21" s="9">
        <v>0.15</v>
      </c>
      <c r="C21" s="1">
        <v>23150</v>
      </c>
    </row>
    <row r="22" spans="1:3" x14ac:dyDescent="0.2">
      <c r="A22" s="1">
        <v>2030</v>
      </c>
      <c r="B22" s="9">
        <v>0.15</v>
      </c>
      <c r="C22" s="1">
        <v>23150</v>
      </c>
    </row>
    <row r="23" spans="1:3" x14ac:dyDescent="0.2">
      <c r="A23" s="1">
        <v>2031</v>
      </c>
      <c r="B23" s="9">
        <v>0.15</v>
      </c>
      <c r="C23" s="1">
        <v>23150</v>
      </c>
    </row>
    <row r="24" spans="1:3" x14ac:dyDescent="0.2">
      <c r="A24" s="1">
        <v>2032</v>
      </c>
      <c r="B24" s="9">
        <v>0.15</v>
      </c>
      <c r="C24" s="1">
        <v>23150</v>
      </c>
    </row>
    <row r="25" spans="1:3" x14ac:dyDescent="0.2">
      <c r="A25" s="1">
        <v>2033</v>
      </c>
      <c r="B25" s="9">
        <v>0.15</v>
      </c>
      <c r="C25" s="1">
        <v>23150</v>
      </c>
    </row>
    <row r="26" spans="1:3" x14ac:dyDescent="0.2">
      <c r="A26" s="1">
        <v>2034</v>
      </c>
      <c r="B26" s="9">
        <v>0.15</v>
      </c>
      <c r="C26" s="1">
        <v>23150</v>
      </c>
    </row>
    <row r="27" spans="1:3" x14ac:dyDescent="0.2">
      <c r="A27" s="1">
        <v>2035</v>
      </c>
      <c r="B27" s="9">
        <v>0.15</v>
      </c>
      <c r="C27" s="1">
        <v>23150</v>
      </c>
    </row>
    <row r="28" spans="1:3" x14ac:dyDescent="0.2">
      <c r="B28" s="9"/>
    </row>
    <row r="29" spans="1:3" x14ac:dyDescent="0.2">
      <c r="B29" s="9"/>
    </row>
    <row r="30" spans="1:3" x14ac:dyDescent="0.2">
      <c r="B30" s="9"/>
    </row>
    <row r="31" spans="1:3" x14ac:dyDescent="0.2">
      <c r="B31" s="9"/>
    </row>
    <row r="32" spans="1:3" x14ac:dyDescent="0.2">
      <c r="B32" s="9"/>
    </row>
    <row r="33" spans="2:2" x14ac:dyDescent="0.2">
      <c r="B33" s="9"/>
    </row>
    <row r="34" spans="2:2" x14ac:dyDescent="0.2">
      <c r="B34" s="9"/>
    </row>
    <row r="35" spans="2:2" x14ac:dyDescent="0.2">
      <c r="B35" s="9"/>
    </row>
    <row r="36" spans="2:2" x14ac:dyDescent="0.2">
      <c r="B36" s="9"/>
    </row>
    <row r="37" spans="2:2" x14ac:dyDescent="0.2">
      <c r="B37" s="9"/>
    </row>
    <row r="38" spans="2:2" x14ac:dyDescent="0.2">
      <c r="B38" s="9"/>
    </row>
    <row r="39" spans="2:2" x14ac:dyDescent="0.2">
      <c r="B39" s="9"/>
    </row>
    <row r="40" spans="2:2" x14ac:dyDescent="0.2">
      <c r="B40" s="9"/>
    </row>
    <row r="41" spans="2:2" x14ac:dyDescent="0.2">
      <c r="B41" s="9"/>
    </row>
    <row r="42" spans="2:2" x14ac:dyDescent="0.2">
      <c r="B42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6265-C1CA-9A45-B72C-37288D0D4A1D}">
  <sheetPr codeName="Sheet95"/>
  <dimension ref="A1:A4"/>
  <sheetViews>
    <sheetView zoomScaleNormal="100" workbookViewId="0"/>
  </sheetViews>
  <sheetFormatPr baseColWidth="10" defaultRowHeight="16" x14ac:dyDescent="0.2"/>
  <cols>
    <col min="1" max="1" width="17" style="1" bestFit="1" customWidth="1"/>
    <col min="2" max="2" width="24.5" style="1" bestFit="1" customWidth="1"/>
    <col min="3" max="16384" width="10.83203125" style="1"/>
  </cols>
  <sheetData>
    <row r="1" spans="1:1" x14ac:dyDescent="0.2">
      <c r="A1" s="2" t="s">
        <v>87</v>
      </c>
    </row>
    <row r="2" spans="1:1" x14ac:dyDescent="0.2">
      <c r="A2" s="1">
        <v>0</v>
      </c>
    </row>
    <row r="3" spans="1:1" x14ac:dyDescent="0.2">
      <c r="A3" s="1">
        <v>1</v>
      </c>
    </row>
    <row r="4" spans="1:1" x14ac:dyDescent="0.2">
      <c r="A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EV_sales</vt:lpstr>
      <vt:lpstr>aam_market_share</vt:lpstr>
      <vt:lpstr>market_share</vt:lpstr>
      <vt:lpstr>battery_wt_year</vt:lpstr>
      <vt:lpstr>downstream_material</vt:lpstr>
      <vt:lpstr>midstream_material</vt:lpstr>
      <vt:lpstr>upstream_material</vt:lpstr>
      <vt:lpstr>specific_energy_year</vt:lpstr>
      <vt:lpstr>recycling_limit</vt:lpstr>
      <vt:lpstr>pyro_recycling</vt:lpstr>
      <vt:lpstr>hydro_recycling</vt:lpstr>
      <vt:lpstr>direct_recycling</vt:lpstr>
      <vt:lpstr>recycling_rate</vt:lpstr>
      <vt:lpstr>recycling_portion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Jieyi Lu</dc:creator>
  <cp:lastModifiedBy>Jieyi Lu</cp:lastModifiedBy>
  <dcterms:created xsi:type="dcterms:W3CDTF">2024-04-24T17:27:05Z</dcterms:created>
  <dcterms:modified xsi:type="dcterms:W3CDTF">2026-01-06T20:48:19Z</dcterms:modified>
</cp:coreProperties>
</file>